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Kerjaan\Project P49121024 (Algoritma Genetika)\"/>
    </mc:Choice>
  </mc:AlternateContent>
  <xr:revisionPtr revIDLastSave="0" documentId="13_ncr:1_{7A66951B-6A42-4656-9C8A-2B86011BBF27}" xr6:coauthVersionLast="47" xr6:coauthVersionMax="47" xr10:uidLastSave="{00000000-0000-0000-0000-000000000000}"/>
  <bookViews>
    <workbookView xWindow="-110" yWindow="-110" windowWidth="19420" windowHeight="10300" activeTab="2" xr2:uid="{BEC70B1C-ACE7-48DE-A2E1-26694E4AE7E8}"/>
  </bookViews>
  <sheets>
    <sheet name="Arsitektur" sheetId="1" r:id="rId1"/>
    <sheet name="Data Arsitektur" sheetId="3" r:id="rId2"/>
    <sheet name="Data MEP" sheetId="4" r:id="rId3"/>
    <sheet name="MEP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2" l="1"/>
  <c r="K6" i="2"/>
  <c r="K5" i="2"/>
  <c r="S6" i="1"/>
  <c r="S7" i="1"/>
  <c r="S8" i="1"/>
  <c r="S5" i="1"/>
</calcChain>
</file>

<file path=xl/sharedStrings.xml><?xml version="1.0" encoding="utf-8"?>
<sst xmlns="http://schemas.openxmlformats.org/spreadsheetml/2006/main" count="56" uniqueCount="28">
  <si>
    <t>Tahun</t>
  </si>
  <si>
    <t>Kelengkapan dokumen penawaran</t>
  </si>
  <si>
    <t>Legalitas perusahaan</t>
  </si>
  <si>
    <t>Kemitraan perusahaan</t>
  </si>
  <si>
    <t>Perpajakan</t>
  </si>
  <si>
    <t>Neraca perusahaan</t>
  </si>
  <si>
    <t>Penguasaan terhadap proyek</t>
  </si>
  <si>
    <t>Analisis teknis</t>
  </si>
  <si>
    <t>Metode pelaksanaan</t>
  </si>
  <si>
    <t>Uraian spesifikasi teknis</t>
  </si>
  <si>
    <t>Jumlah peralatan sewa</t>
  </si>
  <si>
    <t>Jumlah peralatan milik sendiri</t>
  </si>
  <si>
    <t>Kelengkapan tenaga ahli, terampil, dan teknis</t>
  </si>
  <si>
    <t>Pengalaman sebelumnya</t>
  </si>
  <si>
    <t>Kepuasan klien</t>
  </si>
  <si>
    <t>Kesesuaian biaya</t>
  </si>
  <si>
    <t>Kesesuaian waktu</t>
  </si>
  <si>
    <t>Keuangan</t>
  </si>
  <si>
    <t>Kualitas</t>
  </si>
  <si>
    <t>Pengalaman</t>
  </si>
  <si>
    <t>Kelengkapan peralatan</t>
  </si>
  <si>
    <t>Legalitas</t>
  </si>
  <si>
    <t>Pemeliharaan</t>
  </si>
  <si>
    <t>Manajemen SDM</t>
  </si>
  <si>
    <t>Pemahaman K3 dan Lingkungan</t>
  </si>
  <si>
    <t>Total bobot</t>
  </si>
  <si>
    <t>Bobot Kriteria Pemilihan Kontraktor Arsitektur (%)</t>
  </si>
  <si>
    <t>Bobot Kriteria Pemilihan Kontraktor MEP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</si>
</sst>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2" fillId="3" borderId="0" xfId="0" applyFont="1" applyFill="1"/>
    <xf numFmtId="2" fontId="0" fillId="0" borderId="0" xfId="0" applyNumberFormat="1"/>
    <xf numFmtId="0" fontId="2" fillId="4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F238-9EF1-4EEC-AA09-66014E54C4CC}">
  <dimension ref="B2:S9"/>
  <sheetViews>
    <sheetView zoomScale="81" workbookViewId="0">
      <selection activeCell="S10" sqref="S10"/>
    </sheetView>
  </sheetViews>
  <sheetFormatPr defaultRowHeight="14.5" x14ac:dyDescent="0.35"/>
  <cols>
    <col min="3" max="3" width="12" customWidth="1"/>
    <col min="4" max="4" width="10.7265625" customWidth="1"/>
    <col min="5" max="5" width="10.54296875" customWidth="1"/>
    <col min="6" max="6" width="10.90625" customWidth="1"/>
    <col min="7" max="7" width="10.54296875" customWidth="1"/>
    <col min="8" max="8" width="11.81640625" customWidth="1"/>
    <col min="13" max="13" width="9.7265625" customWidth="1"/>
    <col min="14" max="14" width="16.36328125" customWidth="1"/>
    <col min="19" max="19" width="17.1796875" customWidth="1"/>
  </cols>
  <sheetData>
    <row r="2" spans="2:19" ht="23.5" x14ac:dyDescent="0.55000000000000004">
      <c r="B2" s="7" t="s">
        <v>26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2:19" x14ac:dyDescent="0.35">
      <c r="B3" s="8" t="s">
        <v>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2:19" ht="58" x14ac:dyDescent="0.35">
      <c r="B4" s="8"/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5" t="s">
        <v>25</v>
      </c>
    </row>
    <row r="5" spans="2:19" x14ac:dyDescent="0.35">
      <c r="B5" s="3">
        <v>2016</v>
      </c>
      <c r="C5" s="4">
        <v>4.49</v>
      </c>
      <c r="D5" s="4">
        <v>4.3499999999999996</v>
      </c>
      <c r="E5" s="4">
        <v>1.23</v>
      </c>
      <c r="F5" s="4">
        <v>3.42</v>
      </c>
      <c r="G5" s="4">
        <v>2.4900000000000002</v>
      </c>
      <c r="H5" s="4">
        <v>4.6500000000000004</v>
      </c>
      <c r="I5" s="4">
        <v>4.34</v>
      </c>
      <c r="J5" s="4">
        <v>3.04</v>
      </c>
      <c r="K5" s="4">
        <v>3.74</v>
      </c>
      <c r="L5" s="4">
        <v>2.95</v>
      </c>
      <c r="M5" s="4">
        <v>10.52</v>
      </c>
      <c r="N5" s="4">
        <v>13.46</v>
      </c>
      <c r="O5" s="4">
        <v>24.43</v>
      </c>
      <c r="P5" s="4">
        <v>6.45</v>
      </c>
      <c r="Q5" s="4">
        <v>4.25</v>
      </c>
      <c r="R5" s="4">
        <v>6.19</v>
      </c>
      <c r="S5" s="4">
        <f>SUM(C5:R5)</f>
        <v>100</v>
      </c>
    </row>
    <row r="6" spans="2:19" x14ac:dyDescent="0.35">
      <c r="B6" s="3">
        <v>2019</v>
      </c>
      <c r="C6" s="4">
        <v>15.61</v>
      </c>
      <c r="D6" s="4">
        <v>3.36</v>
      </c>
      <c r="E6" s="4">
        <v>10.6</v>
      </c>
      <c r="F6" s="4">
        <v>4.34</v>
      </c>
      <c r="G6" s="4">
        <v>4.12</v>
      </c>
      <c r="H6" s="4">
        <v>0.01</v>
      </c>
      <c r="I6" s="4">
        <v>0.01</v>
      </c>
      <c r="J6" s="4">
        <v>8.89</v>
      </c>
      <c r="K6" s="4">
        <v>0.01</v>
      </c>
      <c r="L6" s="4">
        <v>2.66</v>
      </c>
      <c r="M6" s="4">
        <v>2.67</v>
      </c>
      <c r="N6" s="4">
        <v>12.15</v>
      </c>
      <c r="O6" s="4">
        <v>20.100000000000001</v>
      </c>
      <c r="P6" s="4">
        <v>7.77</v>
      </c>
      <c r="Q6" s="4">
        <v>3.46</v>
      </c>
      <c r="R6" s="4">
        <v>4.24</v>
      </c>
      <c r="S6" s="4">
        <f t="shared" ref="S6:S8" si="0">SUM(C6:R6)</f>
        <v>99.999999999999986</v>
      </c>
    </row>
    <row r="7" spans="2:19" x14ac:dyDescent="0.35">
      <c r="B7" s="3">
        <v>2021</v>
      </c>
      <c r="C7" s="4">
        <v>3.9</v>
      </c>
      <c r="D7" s="4">
        <v>6.92</v>
      </c>
      <c r="E7" s="4">
        <v>7</v>
      </c>
      <c r="F7" s="4">
        <v>0.01</v>
      </c>
      <c r="G7" s="4">
        <v>0.01</v>
      </c>
      <c r="H7" s="4">
        <v>7.99</v>
      </c>
      <c r="I7" s="4">
        <v>7.99</v>
      </c>
      <c r="J7" s="4">
        <v>0.01</v>
      </c>
      <c r="K7" s="4">
        <v>0.01</v>
      </c>
      <c r="L7" s="4">
        <v>3.66</v>
      </c>
      <c r="M7" s="4">
        <v>3.67</v>
      </c>
      <c r="N7" s="4">
        <v>16.940000000000001</v>
      </c>
      <c r="O7" s="4">
        <v>18.68</v>
      </c>
      <c r="P7" s="4">
        <v>7.66</v>
      </c>
      <c r="Q7" s="4">
        <v>7.24</v>
      </c>
      <c r="R7" s="4">
        <v>8.31</v>
      </c>
      <c r="S7" s="4">
        <f t="shared" si="0"/>
        <v>99.999999999999986</v>
      </c>
    </row>
    <row r="8" spans="2:19" x14ac:dyDescent="0.35">
      <c r="B8" s="3">
        <v>2023</v>
      </c>
      <c r="C8" s="4">
        <v>7.37</v>
      </c>
      <c r="D8" s="4">
        <v>7.15</v>
      </c>
      <c r="E8" s="4">
        <v>6.35</v>
      </c>
      <c r="F8" s="4">
        <v>7.09</v>
      </c>
      <c r="G8" s="4">
        <v>5.24</v>
      </c>
      <c r="H8" s="4">
        <v>6.95</v>
      </c>
      <c r="I8" s="4">
        <v>0.01</v>
      </c>
      <c r="J8" s="4">
        <v>6.01</v>
      </c>
      <c r="K8" s="4">
        <v>6.91</v>
      </c>
      <c r="L8" s="4">
        <v>3.95</v>
      </c>
      <c r="M8" s="4">
        <v>3.95</v>
      </c>
      <c r="N8" s="4">
        <v>0.01</v>
      </c>
      <c r="O8" s="4">
        <v>14.78</v>
      </c>
      <c r="P8" s="4">
        <v>8.0299999999999994</v>
      </c>
      <c r="Q8" s="4">
        <v>8.09</v>
      </c>
      <c r="R8" s="4">
        <v>8.11</v>
      </c>
      <c r="S8" s="4">
        <f t="shared" si="0"/>
        <v>100</v>
      </c>
    </row>
    <row r="9" spans="2:19" x14ac:dyDescent="0.35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</sheetData>
  <mergeCells count="3">
    <mergeCell ref="B2:R2"/>
    <mergeCell ref="B3:B4"/>
    <mergeCell ref="C3:R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32669-CE40-4EED-80BB-A43F6F5402F3}">
  <dimension ref="A1:R5"/>
  <sheetViews>
    <sheetView workbookViewId="0">
      <selection activeCell="E9" sqref="E9"/>
    </sheetView>
  </sheetViews>
  <sheetFormatPr defaultRowHeight="14.5" x14ac:dyDescent="0.35"/>
  <sheetData>
    <row r="1" spans="1:18" ht="101.5" x14ac:dyDescent="0.35">
      <c r="A1" s="6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8" x14ac:dyDescent="0.35">
      <c r="A2" s="3">
        <v>2016</v>
      </c>
      <c r="B2" s="4">
        <v>4.49</v>
      </c>
      <c r="C2" s="4">
        <v>4.3499999999999996</v>
      </c>
      <c r="D2" s="4">
        <v>1.23</v>
      </c>
      <c r="E2" s="4">
        <v>3.42</v>
      </c>
      <c r="F2" s="4">
        <v>2.4900000000000002</v>
      </c>
      <c r="G2" s="4">
        <v>4.6500000000000004</v>
      </c>
      <c r="H2" s="4">
        <v>4.34</v>
      </c>
      <c r="I2" s="4">
        <v>3.04</v>
      </c>
      <c r="J2" s="4">
        <v>3.74</v>
      </c>
      <c r="K2" s="4">
        <v>2.95</v>
      </c>
      <c r="L2" s="4">
        <v>10.52</v>
      </c>
      <c r="M2" s="4">
        <v>13.46</v>
      </c>
      <c r="N2" s="4">
        <v>24.43</v>
      </c>
      <c r="O2" s="4">
        <v>6.45</v>
      </c>
      <c r="P2" s="4">
        <v>4.25</v>
      </c>
      <c r="Q2" s="4">
        <v>6.19</v>
      </c>
      <c r="R2" s="4"/>
    </row>
    <row r="3" spans="1:18" x14ac:dyDescent="0.35">
      <c r="A3" s="3">
        <v>2019</v>
      </c>
      <c r="B3" s="4">
        <v>15.61</v>
      </c>
      <c r="C3" s="4">
        <v>3.36</v>
      </c>
      <c r="D3" s="4">
        <v>10.6</v>
      </c>
      <c r="E3" s="4">
        <v>4.34</v>
      </c>
      <c r="F3" s="4">
        <v>4.12</v>
      </c>
      <c r="G3" s="4">
        <v>0.01</v>
      </c>
      <c r="H3" s="4">
        <v>0.01</v>
      </c>
      <c r="I3" s="4">
        <v>8.89</v>
      </c>
      <c r="J3" s="4">
        <v>0.01</v>
      </c>
      <c r="K3" s="4">
        <v>2.66</v>
      </c>
      <c r="L3" s="4">
        <v>2.67</v>
      </c>
      <c r="M3" s="4">
        <v>12.15</v>
      </c>
      <c r="N3" s="4">
        <v>20.100000000000001</v>
      </c>
      <c r="O3" s="4">
        <v>7.77</v>
      </c>
      <c r="P3" s="4">
        <v>3.46</v>
      </c>
      <c r="Q3" s="4">
        <v>4.24</v>
      </c>
      <c r="R3" s="4"/>
    </row>
    <row r="4" spans="1:18" x14ac:dyDescent="0.35">
      <c r="A4" s="3">
        <v>2021</v>
      </c>
      <c r="B4" s="4">
        <v>3.9</v>
      </c>
      <c r="C4" s="4">
        <v>6.92</v>
      </c>
      <c r="D4" s="4">
        <v>7</v>
      </c>
      <c r="E4" s="4">
        <v>0.01</v>
      </c>
      <c r="F4" s="4">
        <v>0.01</v>
      </c>
      <c r="G4" s="4">
        <v>7.99</v>
      </c>
      <c r="H4" s="4">
        <v>7.99</v>
      </c>
      <c r="I4" s="4">
        <v>0.01</v>
      </c>
      <c r="J4" s="4">
        <v>0.01</v>
      </c>
      <c r="K4" s="4">
        <v>3.66</v>
      </c>
      <c r="L4" s="4">
        <v>3.67</v>
      </c>
      <c r="M4" s="4">
        <v>16.940000000000001</v>
      </c>
      <c r="N4" s="4">
        <v>18.68</v>
      </c>
      <c r="O4" s="4">
        <v>7.66</v>
      </c>
      <c r="P4" s="4">
        <v>7.24</v>
      </c>
      <c r="Q4" s="4">
        <v>8.31</v>
      </c>
      <c r="R4" s="4"/>
    </row>
    <row r="5" spans="1:18" x14ac:dyDescent="0.35">
      <c r="A5" s="3">
        <v>2023</v>
      </c>
      <c r="B5" s="4">
        <v>7.37</v>
      </c>
      <c r="C5" s="4">
        <v>7.15</v>
      </c>
      <c r="D5" s="4">
        <v>6.35</v>
      </c>
      <c r="E5" s="4">
        <v>7.09</v>
      </c>
      <c r="F5" s="4">
        <v>5.24</v>
      </c>
      <c r="G5" s="4">
        <v>6.95</v>
      </c>
      <c r="H5" s="4">
        <v>0.01</v>
      </c>
      <c r="I5" s="4">
        <v>6.01</v>
      </c>
      <c r="J5" s="4">
        <v>6.91</v>
      </c>
      <c r="K5" s="4">
        <v>3.95</v>
      </c>
      <c r="L5" s="4">
        <v>3.95</v>
      </c>
      <c r="M5" s="4">
        <v>0.01</v>
      </c>
      <c r="N5" s="4">
        <v>14.78</v>
      </c>
      <c r="O5" s="4">
        <v>8.0299999999999994</v>
      </c>
      <c r="P5" s="4">
        <v>8.09</v>
      </c>
      <c r="Q5" s="4">
        <v>8.11</v>
      </c>
      <c r="R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5FC30-ED6D-4423-9DE7-2B826B477F30}">
  <dimension ref="A1:I4"/>
  <sheetViews>
    <sheetView tabSelected="1" workbookViewId="0">
      <selection activeCell="J4" sqref="J4"/>
    </sheetView>
  </sheetViews>
  <sheetFormatPr defaultRowHeight="14.5" x14ac:dyDescent="0.35"/>
  <sheetData>
    <row r="1" spans="1:9" ht="72.5" x14ac:dyDescent="0.35">
      <c r="A1" s="6" t="s">
        <v>0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 x14ac:dyDescent="0.35">
      <c r="A2" s="3">
        <v>2015</v>
      </c>
      <c r="B2">
        <v>15.23</v>
      </c>
      <c r="C2" s="4">
        <v>9.8000000000000007</v>
      </c>
      <c r="D2" s="4">
        <v>8.74</v>
      </c>
      <c r="E2" s="4">
        <v>8.9</v>
      </c>
      <c r="F2" s="4">
        <v>14.43</v>
      </c>
      <c r="G2" s="4">
        <v>8.17</v>
      </c>
      <c r="H2" s="4">
        <v>15.41</v>
      </c>
      <c r="I2" s="4">
        <v>19.32</v>
      </c>
    </row>
    <row r="3" spans="1:9" x14ac:dyDescent="0.35">
      <c r="A3" s="3">
        <v>2020</v>
      </c>
      <c r="B3" s="4">
        <v>14.26</v>
      </c>
      <c r="C3" s="4">
        <v>12.14</v>
      </c>
      <c r="D3" s="4">
        <v>14.07</v>
      </c>
      <c r="E3" s="4">
        <v>17.920000000000002</v>
      </c>
      <c r="F3" s="4">
        <v>10.86</v>
      </c>
      <c r="G3" s="4">
        <v>0.01</v>
      </c>
      <c r="H3" s="4">
        <v>15.71</v>
      </c>
      <c r="I3" s="4">
        <v>15.03</v>
      </c>
    </row>
    <row r="4" spans="1:9" x14ac:dyDescent="0.35">
      <c r="A4" s="3">
        <v>2024</v>
      </c>
      <c r="B4" s="4">
        <v>16</v>
      </c>
      <c r="C4" s="4">
        <v>16</v>
      </c>
      <c r="D4" s="4">
        <v>8</v>
      </c>
      <c r="E4" s="4">
        <v>9</v>
      </c>
      <c r="F4" s="4">
        <v>23</v>
      </c>
      <c r="G4" s="4">
        <v>8</v>
      </c>
      <c r="H4" s="4">
        <v>7</v>
      </c>
      <c r="I4" s="4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A07CC-8824-4867-B4DF-C8664E9A0C23}">
  <dimension ref="B2:K7"/>
  <sheetViews>
    <sheetView zoomScale="94" workbookViewId="0">
      <selection activeCell="B3" sqref="B3:J7"/>
    </sheetView>
  </sheetViews>
  <sheetFormatPr defaultRowHeight="14.5" x14ac:dyDescent="0.35"/>
  <cols>
    <col min="3" max="3" width="9.54296875" customWidth="1"/>
    <col min="5" max="5" width="11.6328125" customWidth="1"/>
    <col min="8" max="8" width="13.1796875" customWidth="1"/>
    <col min="10" max="10" width="13.81640625" customWidth="1"/>
    <col min="11" max="11" width="15.08984375" customWidth="1"/>
  </cols>
  <sheetData>
    <row r="2" spans="2:11" x14ac:dyDescent="0.35">
      <c r="B2" s="9" t="s">
        <v>27</v>
      </c>
      <c r="C2" s="9"/>
      <c r="D2" s="9"/>
      <c r="E2" s="9"/>
      <c r="F2" s="9"/>
      <c r="G2" s="9"/>
      <c r="H2" s="9"/>
      <c r="I2" s="9"/>
      <c r="J2" s="9"/>
    </row>
    <row r="3" spans="2:11" x14ac:dyDescent="0.35">
      <c r="B3" s="8" t="s">
        <v>0</v>
      </c>
      <c r="C3" s="1"/>
      <c r="D3" s="1"/>
      <c r="E3" s="1"/>
      <c r="F3" s="1"/>
      <c r="G3" s="1"/>
      <c r="H3" s="1"/>
      <c r="I3" s="1"/>
      <c r="J3" s="1"/>
    </row>
    <row r="4" spans="2:11" ht="58" x14ac:dyDescent="0.35">
      <c r="B4" s="8"/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5" t="s">
        <v>25</v>
      </c>
    </row>
    <row r="5" spans="2:11" x14ac:dyDescent="0.35">
      <c r="B5" s="3">
        <v>2015</v>
      </c>
      <c r="C5">
        <v>15.23</v>
      </c>
      <c r="D5" s="4">
        <v>9.8000000000000007</v>
      </c>
      <c r="E5" s="4">
        <v>8.74</v>
      </c>
      <c r="F5" s="4">
        <v>8.9</v>
      </c>
      <c r="G5" s="4">
        <v>14.43</v>
      </c>
      <c r="H5" s="4">
        <v>8.17</v>
      </c>
      <c r="I5" s="4">
        <v>15.41</v>
      </c>
      <c r="J5" s="4">
        <v>19.32</v>
      </c>
      <c r="K5" s="4">
        <f>SUM(C5:J5)</f>
        <v>100</v>
      </c>
    </row>
    <row r="6" spans="2:11" x14ac:dyDescent="0.35">
      <c r="B6" s="3">
        <v>2020</v>
      </c>
      <c r="C6" s="4">
        <v>14.26</v>
      </c>
      <c r="D6" s="4">
        <v>12.14</v>
      </c>
      <c r="E6" s="4">
        <v>14.07</v>
      </c>
      <c r="F6" s="4">
        <v>17.920000000000002</v>
      </c>
      <c r="G6" s="4">
        <v>10.86</v>
      </c>
      <c r="H6" s="4">
        <v>0.01</v>
      </c>
      <c r="I6" s="4">
        <v>15.71</v>
      </c>
      <c r="J6" s="4">
        <v>15.03</v>
      </c>
      <c r="K6" s="4">
        <f t="shared" ref="K6:K7" si="0">SUM(C6:J6)</f>
        <v>100</v>
      </c>
    </row>
    <row r="7" spans="2:11" x14ac:dyDescent="0.35">
      <c r="B7" s="3">
        <v>2024</v>
      </c>
      <c r="C7" s="4">
        <v>16</v>
      </c>
      <c r="D7" s="4">
        <v>16</v>
      </c>
      <c r="E7" s="4">
        <v>8</v>
      </c>
      <c r="F7" s="4">
        <v>9</v>
      </c>
      <c r="G7" s="4">
        <v>23</v>
      </c>
      <c r="H7" s="4">
        <v>8</v>
      </c>
      <c r="I7" s="4">
        <v>7</v>
      </c>
      <c r="J7" s="4">
        <v>13</v>
      </c>
      <c r="K7" s="4">
        <f t="shared" si="0"/>
        <v>100</v>
      </c>
    </row>
  </sheetData>
  <mergeCells count="2">
    <mergeCell ref="B2:J2"/>
    <mergeCell ref="B3:B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Arsitektur</vt:lpstr>
      <vt:lpstr>Data Arsitektur</vt:lpstr>
      <vt:lpstr>Data MEP</vt:lpstr>
      <vt:lpstr>MEP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Benita Aryani Dewi</dc:creator>
  <cp:lastModifiedBy>Juli Yandi Rahman</cp:lastModifiedBy>
  <dcterms:created xsi:type="dcterms:W3CDTF">2024-10-27T01:51:01Z</dcterms:created>
  <dcterms:modified xsi:type="dcterms:W3CDTF">2024-10-28T14:11:47Z</dcterms:modified>
</cp:coreProperties>
</file>