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mowilexcoid-my.sharepoint.com/personal/benita_aryani_mowilex_co_id/Documents/Documents/School/"/>
    </mc:Choice>
  </mc:AlternateContent>
  <xr:revisionPtr revIDLastSave="120" documentId="8_{0DCC935E-D7A8-4FA9-ACCF-6EE799D90C71}" xr6:coauthVersionLast="47" xr6:coauthVersionMax="47" xr10:uidLastSave="{DD43B33F-A3AF-488F-AF00-FD1372DE02B3}"/>
  <bookViews>
    <workbookView xWindow="-110" yWindow="-110" windowWidth="19420" windowHeight="10300" activeTab="1" xr2:uid="{BEC70B1C-ACE7-48DE-A2E1-26694E4AE7E8}"/>
  </bookViews>
  <sheets>
    <sheet name="Data Arsitek yang Akan Diolah" sheetId="3" r:id="rId1"/>
    <sheet name="Data MEP yang Akan Diolah" sheetId="4" r:id="rId2"/>
    <sheet name="Arsitektur" sheetId="1" r:id="rId3"/>
    <sheet name="MEP"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4" l="1"/>
  <c r="F21" i="4"/>
  <c r="F16" i="4"/>
  <c r="C14" i="4"/>
  <c r="C30" i="4" s="1"/>
  <c r="F7" i="4"/>
  <c r="F42" i="3"/>
  <c r="F34" i="3"/>
  <c r="C34" i="3"/>
  <c r="L31" i="3"/>
  <c r="F31" i="3"/>
  <c r="I29" i="3"/>
  <c r="F29" i="3"/>
  <c r="C29" i="3"/>
  <c r="F26" i="3"/>
  <c r="I25" i="3"/>
  <c r="F25" i="3"/>
  <c r="I24" i="3"/>
  <c r="I48" i="3" s="1"/>
  <c r="F24" i="3"/>
  <c r="F21" i="3"/>
  <c r="L18" i="3"/>
  <c r="F18" i="3"/>
  <c r="L15" i="3"/>
  <c r="F13" i="3"/>
  <c r="F10" i="3"/>
  <c r="F9" i="3"/>
  <c r="L8" i="3"/>
  <c r="L48" i="3" s="1"/>
  <c r="F8" i="3"/>
  <c r="C5" i="3"/>
  <c r="K7" i="2"/>
  <c r="K6" i="2"/>
  <c r="K5" i="2"/>
  <c r="S6" i="1"/>
  <c r="S7" i="1"/>
  <c r="S8" i="1"/>
  <c r="S5" i="1"/>
  <c r="D21" i="4" l="1"/>
  <c r="D9" i="4"/>
  <c r="D26" i="4"/>
  <c r="D7" i="4"/>
  <c r="D16" i="4"/>
  <c r="D14" i="4"/>
  <c r="F30" i="4"/>
  <c r="G7" i="4" s="1"/>
  <c r="M18" i="3"/>
  <c r="F48" i="3"/>
  <c r="G18" i="3" s="1"/>
  <c r="J29" i="3"/>
  <c r="D11" i="4"/>
  <c r="D19" i="4"/>
  <c r="G24" i="3"/>
  <c r="G9" i="3"/>
  <c r="G26" i="3"/>
  <c r="G5" i="3"/>
  <c r="G31" i="3"/>
  <c r="M13" i="3"/>
  <c r="M42" i="3"/>
  <c r="M28" i="3"/>
  <c r="M20" i="3"/>
  <c r="M5" i="3"/>
  <c r="M29" i="3"/>
  <c r="M10" i="3"/>
  <c r="M32" i="3"/>
  <c r="M21" i="3"/>
  <c r="M9" i="3"/>
  <c r="M35" i="3"/>
  <c r="J9" i="3"/>
  <c r="J17" i="3"/>
  <c r="J15" i="3"/>
  <c r="J31" i="3"/>
  <c r="J24" i="3"/>
  <c r="J42" i="3"/>
  <c r="J28" i="3"/>
  <c r="J5" i="3"/>
  <c r="J26" i="3"/>
  <c r="J21" i="3"/>
  <c r="J8" i="3"/>
  <c r="J34" i="3"/>
  <c r="M31" i="3"/>
  <c r="G10" i="3"/>
  <c r="G25" i="3"/>
  <c r="D34" i="3"/>
  <c r="J25" i="3"/>
  <c r="M15" i="3"/>
  <c r="G42" i="3"/>
  <c r="C48" i="3"/>
  <c r="M8" i="3"/>
  <c r="G21" i="4" l="1"/>
  <c r="G14" i="4"/>
  <c r="G16" i="4"/>
  <c r="G26" i="4"/>
  <c r="G9" i="4"/>
  <c r="G11" i="4"/>
  <c r="D30" i="4"/>
  <c r="G34" i="3"/>
  <c r="G28" i="3"/>
  <c r="G29" i="3"/>
  <c r="G8" i="3"/>
  <c r="G13" i="3"/>
  <c r="G21" i="3"/>
  <c r="G48" i="3"/>
  <c r="J48" i="3"/>
  <c r="M48" i="3"/>
  <c r="D43" i="3"/>
  <c r="D18" i="3"/>
  <c r="D26" i="3"/>
  <c r="D21" i="3"/>
  <c r="D8" i="3"/>
  <c r="D22" i="3"/>
  <c r="D25" i="3"/>
  <c r="D10" i="3"/>
  <c r="D31" i="3"/>
  <c r="D17" i="3"/>
  <c r="D13" i="3"/>
  <c r="D24" i="3"/>
  <c r="D20" i="3"/>
  <c r="D9" i="3"/>
  <c r="D28" i="3"/>
  <c r="D15" i="3"/>
  <c r="D42" i="3"/>
  <c r="D29" i="3"/>
  <c r="D5" i="3"/>
  <c r="G30" i="4" l="1"/>
  <c r="D4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tc={7F1601F0-225A-4C7A-89DD-3E7AE4705BBE}</author>
    <author>tc={F1D3F9A7-9DCF-4B19-AB2E-978948D1EDE2}</author>
    <author>tc={258C3B6F-3124-4C61-9CE8-1C155E0701A0}</author>
    <author>tc={EA54C1BC-D71C-4A60-9B1C-FC279E54A20D}</author>
  </authors>
  <commentList>
    <comment ref="B3" authorId="0" shapeId="0" xr:uid="{7F1601F0-225A-4C7A-89DD-3E7AE4705BBE}">
      <text>
        <t>[Threaded comment]
Your version of Excel allows you to read this threaded comment; however, any edits to it will get removed if the file is opened in a newer version of Excel. Learn more: https://go.microsoft.com/fwlink/?linkid=870924
Comment:
    PEMILIHAN REKANAN JASA KONSTRUKSI/KONTRAKTOR DENGAN METODE AHP (STUDI KASUS PENGADAAN DI UNIVERSITAS SEBELAS MARET (UNS) SURAKARTA) 
Proyek gedung sudah beroperasi</t>
      </text>
    </comment>
    <comment ref="E3" authorId="1" shapeId="0" xr:uid="{F1D3F9A7-9DCF-4B19-AB2E-978948D1EDE2}">
      <text>
        <t>[Threaded comment]
Your version of Excel allows you to read this threaded comment; however, any edits to it will get removed if the file is opened in a newer version of Excel. Learn more: https://go.microsoft.com/fwlink/?linkid=870924
Comment:
    "Extended review of contractor selection in construction projects"
proyek awal</t>
      </text>
    </comment>
    <comment ref="H3" authorId="2" shapeId="0" xr:uid="{258C3B6F-3124-4C61-9CE8-1C155E0701A0}">
      <text>
        <t>[Threaded comment]
Your version of Excel allows you to read this threaded comment; however, any edits to it will get removed if the file is opened in a newer version of Excel. Learn more: https://go.microsoft.com/fwlink/?linkid=870924
Comment:
    Analisa Aspek Kualitatif Pemilihan Kontraktor untuk Pekerjaan Renovasi / Perbaikan Gedung Bersejarah
Proyek Gedung yang telah beroperasi</t>
      </text>
    </comment>
    <comment ref="K3" authorId="3" shapeId="0" xr:uid="{EA54C1BC-D71C-4A60-9B1C-FC279E54A20D}">
      <text>
        <t>[Threaded comment]
Your version of Excel allows you to read this threaded comment; however, any edits to it will get removed if the file is opened in a newer version of Excel. Learn more: https://go.microsoft.com/fwlink/?linkid=870924
Comment:
    Kriteria Pemilihan Kontraktor pada Proyek Konstruksi bagi Pengguna Jasa Swasta. (Studi Kasus: Sektor Pakan Ternak) dengan Metode Analisis Faktor
Proyek gedung sudah beroperasi</t>
      </text>
    </comment>
  </commentList>
</comments>
</file>

<file path=xl/sharedStrings.xml><?xml version="1.0" encoding="utf-8"?>
<sst xmlns="http://schemas.openxmlformats.org/spreadsheetml/2006/main" count="170" uniqueCount="143">
  <si>
    <t>Tahun</t>
  </si>
  <si>
    <t>Kelengkapan dokumen penawaran</t>
  </si>
  <si>
    <t>Legalitas perusahaan</t>
  </si>
  <si>
    <t>Kemitraan perusahaan</t>
  </si>
  <si>
    <t>Perpajakan</t>
  </si>
  <si>
    <t>Neraca perusahaan</t>
  </si>
  <si>
    <t>Penguasaan terhadap proyek</t>
  </si>
  <si>
    <t>Analisis teknis</t>
  </si>
  <si>
    <t>Metode pelaksanaan</t>
  </si>
  <si>
    <t>Uraian spesifikasi teknis</t>
  </si>
  <si>
    <t>Jumlah peralatan sewa</t>
  </si>
  <si>
    <t>Jumlah peralatan milik sendiri</t>
  </si>
  <si>
    <t>Kelengkapan tenaga ahli, terampil, dan teknis</t>
  </si>
  <si>
    <t>Pengalaman sebelumnya</t>
  </si>
  <si>
    <t>Kepuasan klien</t>
  </si>
  <si>
    <t>Kesesuaian biaya</t>
  </si>
  <si>
    <t>Kesesuaian waktu</t>
  </si>
  <si>
    <t>Keuangan</t>
  </si>
  <si>
    <t>Kualitas</t>
  </si>
  <si>
    <t>Pengalaman</t>
  </si>
  <si>
    <t>Kelengkapan peralatan</t>
  </si>
  <si>
    <t>Legalitas</t>
  </si>
  <si>
    <t>Pemeliharaan</t>
  </si>
  <si>
    <t>Manajemen SDM</t>
  </si>
  <si>
    <t>Pemahaman K3 dan Lingkungan</t>
  </si>
  <si>
    <t>Total bobot</t>
  </si>
  <si>
    <t>Bobot Kriteria Pemilihan Kontraktor Arsitektur (%)</t>
  </si>
  <si>
    <t>Bobot Kriteria Pemilihan Kontraktor MEP (%)</t>
  </si>
  <si>
    <t>Sub-Sub Kriteria Pemilihan Kontraktor Arsitektur pada Proyek Pengembangan Gedung yang Telah Beroperasi</t>
  </si>
  <si>
    <t>(Hartono, 2016)</t>
  </si>
  <si>
    <t>(Khoso, 2019)</t>
  </si>
  <si>
    <t>(Suwandari, (2021)</t>
  </si>
  <si>
    <t>(Hasanti, 2023)</t>
  </si>
  <si>
    <t>Sub-Subkriteria</t>
  </si>
  <si>
    <t>data asli</t>
  </si>
  <si>
    <t>% bobot yg dipakai olah data</t>
  </si>
  <si>
    <t>Sub Kriteria</t>
  </si>
  <si>
    <t>Kriteria</t>
  </si>
  <si>
    <t>Kelengkapan Dokumen Penawaran (0.324)</t>
  </si>
  <si>
    <t>kelengkapan dokumen</t>
  </si>
  <si>
    <t>Kelengkapan dokumen penawaran yang di pesyaratkan (0.69)</t>
  </si>
  <si>
    <t>Keabsahan/Kelegalan Dokumen Penawaran(0.354)</t>
  </si>
  <si>
    <t>Masa Berlaku Dokumen Penawaran(0.322)</t>
  </si>
  <si>
    <t>Berbadan Usaha (0.323)</t>
  </si>
  <si>
    <t>ukuran perusahaan(11.11),sistem manajemen proyek (15.62),financial management (15.82),prosedur pemantauan dan pengendalian (12.5),pengelolaan penhgetahuan (9.37)</t>
  </si>
  <si>
    <t>Reputasi perusahaan ( 3.82)</t>
  </si>
  <si>
    <t>Struktur organisasi pelaksanaan pekerjaan yang jelas dan bertanggung jawab (0.765)Perusahaan tidak dalam pengawasan pengadilan dan tidak masuk dalam daftar hitam (0.574)</t>
  </si>
  <si>
    <t>Kemitraan/KSO(0.091)</t>
  </si>
  <si>
    <t>perekrutan sub kontraktor lokal((16,67),keakrapan dengan tenaga kerja lokal(16.67),keakrapan dengan pemasuk loka;(16.67),pemahaman ttg politik lokal (16.67),Hubungan klien masa lalu(100),hubungan sub kontraktor(71.42),hubungan dengan pemasok((57.14),hubungan dengan konsultan(50),hubungan dengan asuransi perusahaan (21.4)</t>
  </si>
  <si>
    <t>Kapasitas perusahaan(3.86)</t>
  </si>
  <si>
    <t>Keahlian dan kemampuan kontraktor bekerja sama dengan pemilik proyek , konsultan, pemerintah dan masyarat (0.594)</t>
  </si>
  <si>
    <t>Memenuhi Kewajiban Membayar Pajak(0.254)</t>
  </si>
  <si>
    <t>faktor politik(22.22),pembagian resiko (22.22),flexibilitas dlm perubahan  desgn(11.11),resiko yg diharapkan(11.11)</t>
  </si>
  <si>
    <t>Kewajiban memenuhi perpajakan (0.664)</t>
  </si>
  <si>
    <t>Neraca Perusahaan(0.185)</t>
  </si>
  <si>
    <t>omset(34.73),peringkat kredit (28.26)referensi keuangan link perbankan(28.26)ketangguhan keuangan(21,73)laporan keuangan(21.73)modal kerja(17.39memiliki dana keuangan(19.56)kewajiban(13.04)likuiditas(13.04)keuntungan (10.86)ikatan kapasitas(8.69)kekayaan bersih(8.69)neraca(6.53)rasio lancar(4,34)laporan financial yg telah diaudit(2,17)aset lancar(2,17)kemungkinan bangrut(11.11)</t>
  </si>
  <si>
    <t>Stabilitas keauangan kontraktor ( 0.490)</t>
  </si>
  <si>
    <t>Penguasaan terhadap Karakteristik Permasalahan di lokasi proyek(0.345)</t>
  </si>
  <si>
    <t>Pengenalan situasi(4.41)</t>
  </si>
  <si>
    <t>Sistem dokumentasai dan program perencanaan ulang di lapangan apabila terjadi perubahan pelaksanaan ( 0.558)Kontraktor siap inspeksi  dan diadakan pengujian yang akan dilakukan (0.743)</t>
  </si>
  <si>
    <t>Analisis Teknis Permasalahan(0.322)</t>
  </si>
  <si>
    <t>Ketepatan analisa yang disampaikan inovasi dan dukungan data(4.41)</t>
  </si>
  <si>
    <t>Metode Pelaksanaan Pekerjaan Konstruksi (0.226)</t>
  </si>
  <si>
    <t>rekor keamanan 48.72)kebijakan HSE dan atau kebijakan lingkungan (41)kinerja keselamatan (12.82)</t>
  </si>
  <si>
    <t>Kontraktor memiliki metode dan strategi yang tepat dalam pelaksanaan pekerjaan ( 0.486)Kepatuhan pada aturan keselamatan dan kesehatan kerja, aturan lingkungan hidup(0.640)</t>
  </si>
  <si>
    <t>Uraian Spesifikasi Teknis dan syarat Pelaksanaan(0.278)</t>
  </si>
  <si>
    <t>Kualitas material yang akan digunakan (0.647)</t>
  </si>
  <si>
    <t>Sewa alat (0.219)</t>
  </si>
  <si>
    <t>ketersediaan kecukupan keseuaaian peralatan(60.60)polis asuransi dan asuransisumber daya(9,09)kondisi peralatan(6.06)</t>
  </si>
  <si>
    <t>Peralatan pendukung pekerjaan kostruksi(4.05)</t>
  </si>
  <si>
    <t>Kelengkapan dan ketersediaan serta jumlah berbagai jenis peralatan atau perlengkapan konstruksi (0.739)</t>
  </si>
  <si>
    <t>Peralatan Milik Sendiri(0.781)</t>
  </si>
  <si>
    <t>peralatan milik kontraktor (6.06)</t>
  </si>
  <si>
    <t>Tenaga Ahli(0.499)</t>
  </si>
  <si>
    <t>kapasitas jasa design(11.11)manajemen senior(6.25)sub kontrak manajemen(3.12)kebijakan organisasi lokal (3.12)pengetahuan(11.11)</t>
  </si>
  <si>
    <t>Uraian tugas organisasi dan fasilitas penunjang(2.96)Tingkat pendidikan(2.12)</t>
  </si>
  <si>
    <t>Tenaga Terampil(0.284)</t>
  </si>
  <si>
    <t>Pelatihan staff (6.25)ketersediaan staf manajerial (6.25)pengelolaan pengetahuan(9.37)pengelolaan sumberdaya (3.12)struktur kepengurusan (3.12)kualitas dan pengalaman staff manajerial(34.37)</t>
  </si>
  <si>
    <t>penguasaan bahasa setempat(2.14)Pengalaman bahasa asing(2.13)</t>
  </si>
  <si>
    <t>Tenaga Teknis(0.217)</t>
  </si>
  <si>
    <t>kualifikasi dari staf kunci(22.91)Staff teknis(27.08)Pengalaman tenaga teknis(56.25)pelatihan sub kontraktor(11.11)</t>
  </si>
  <si>
    <t>Pemahaman atas pekerjaan yang tercantum dalam KAK(2.12)</t>
  </si>
  <si>
    <t>Pengalaman Perusahaan 10 Tahun Terakhir dalam Melaksanakan Pelaksanaan Interior dengan Fungsi Sejenis(0.265)</t>
  </si>
  <si>
    <t>jumlah tahun konstruksi (35.22)</t>
  </si>
  <si>
    <t>Pengalaman profesional sertifikasi(3.72)</t>
  </si>
  <si>
    <t xml:space="preserve">Besaran nilai kontrak proyek yang sudah dikerjakan dalam kurun waktu 5 tahun terakhir ( 0.798), </t>
  </si>
  <si>
    <t>Pengalaman Perusahaan 10 Tahun Terakhir dalam Melaksanakan Pekerjaan Pengadaan Gedung dengan Fungsi Sejenis(0.735)</t>
  </si>
  <si>
    <t>Kegagalan masa lalu dlm proyek yg telah selesai (35.25)Pengalaman pada proyek serupa (33.33)Riwayat klaim dan intigasi(29.41)ukuran jumlah dan lokasi proyek serupa (25.49)Jumlah proyek yanng ada (1.96)riwayat perubahan perintah(1.96)pengalaman dibidang lokal (167)</t>
  </si>
  <si>
    <t>Pengalaman bekerja sebagai leadfirm(3.18)Pengalaman melakukan pekerjaan sejenis ( 3.15)Pengalaman bekerja di lokasi pekerjaan yang sama(3.02)</t>
  </si>
  <si>
    <t>Pengalaman perusahaan kontraktor (0.588)Kontraktor pernah mengerjakan proyek  pada pemilik yang sama(0.814)</t>
  </si>
  <si>
    <t>Mutu(0.479)</t>
  </si>
  <si>
    <t>kepuasan klien (5.88)Kebijakan pengendalian mutu (68)Kepatuhan terhadap kualitas dan standart (52)Kualitas system management (40)Sertifikat ISO (16)kualitas proyek yang telah diselesaikan sebelumnya (23.52)Penghargaan (3.92)</t>
  </si>
  <si>
    <t>Manajemen pengendalian(4.23)</t>
  </si>
  <si>
    <t>Kontraktor menyelesaikan pekerjaan sesuai dengan kualaitas yang dipersyaratkan dalam spesifikasi sesuai kontyrak (0.752)Pelayanan selama masa pemeliharaan (0.725)</t>
  </si>
  <si>
    <t>Biaya(0.209)</t>
  </si>
  <si>
    <t>proyek selesai sesuai anggaran(17.84),pembengkakan biaya(11.11),kemampuan untuk mengpntrol waktu dan biaya(11.11)</t>
  </si>
  <si>
    <t>nilai pemngalaman mengelola kontrak(4)</t>
  </si>
  <si>
    <t>Kesesuaian Penawaran dengan HPS dan Anggaran Pagu(0.522)</t>
  </si>
  <si>
    <t>Harga penawaran yang wajar dibandingkan dengan owner estimate (0.757)</t>
  </si>
  <si>
    <t>Koreksi dan Klarifikasi HST(0.364)</t>
  </si>
  <si>
    <t>Overhead(0.114)</t>
  </si>
  <si>
    <t>Kesesuaian Penulisan Angka dan Huruf dalam penawaran harga(0.398)</t>
  </si>
  <si>
    <t>Koreksi Daftar Kuantitas dan Harga Satuan(0.319)</t>
  </si>
  <si>
    <t>Koreksi Volume(0.283)</t>
  </si>
  <si>
    <t>Waktu(0.312)</t>
  </si>
  <si>
    <t>proyek selesai tepat waktu(21.58),kelebihan waktu(11.11)</t>
  </si>
  <si>
    <t>Program kerja, jadwal kerja, jadwal penugasan,dan jangka waktu pelaksanaan(4.59)</t>
  </si>
  <si>
    <t>Kesesuaian jangka waktu pelaksanaan pekerjaan dan serah terima pertama  (0.760)</t>
  </si>
  <si>
    <t>Pekerjaan yang sedang Dikerjakan(0.148)</t>
  </si>
  <si>
    <t>TOTAL BOBOT</t>
  </si>
  <si>
    <t>Sub-Sub Kriteria Pemilihan Kontraktor MEP pada Proyek Pengembangan Gedung yang Telah Beroperasi</t>
  </si>
  <si>
    <t>(Roudini, 2015)</t>
  </si>
  <si>
    <t>(Supriyono,2020)</t>
  </si>
  <si>
    <t>(Zubair, 2024)</t>
  </si>
  <si>
    <t>Sub-Sub Kriteria</t>
  </si>
  <si>
    <t>% bobot yang dipakai pengolahan data</t>
  </si>
  <si>
    <t>kestabilan keuangan (0.57)</t>
  </si>
  <si>
    <t>Rating peringkat keuangan (83), Laporan keuagan(77),Surat referensi dari bank(63)</t>
  </si>
  <si>
    <t>Keuangan dan legalitas Kemampuan finansial (4%),Penawaran harga (3%)Ketersediaan lisensi (7%)Litigasi dan riwayat klaim (2%)</t>
  </si>
  <si>
    <t>Kualitas Kinerja(0.367)</t>
  </si>
  <si>
    <t>Surat pernyataan kinerja baik(63)</t>
  </si>
  <si>
    <t>Kualitas hasil pekerjaan sebelumnya (5%)Tingkat kepuasan client sebelumnya (5%)Performa pada proyek serupa (6%)</t>
  </si>
  <si>
    <t>Efisiensi Manajer Teknis(0.327)</t>
  </si>
  <si>
    <t>pengalaman pekerjaan sejenis(73)</t>
  </si>
  <si>
    <t>Pengalaman proyek serupa (6%)Pengalaman sebelumnya (2%)</t>
  </si>
  <si>
    <t>Mesin Pengeboran(0.374), Mesin Transportasi (0.303),Mesin Las(0.323)</t>
  </si>
  <si>
    <t>kemampuan menyediakan peralatan(93)</t>
  </si>
  <si>
    <t>Ketersediaan peralatan</t>
  </si>
  <si>
    <t>Catatan executive( 0.54)</t>
  </si>
  <si>
    <t>Akta perusahaan (53)SIUP (67)IOS 9001 / setara (63)Tanda daftar perusahaan (37)Kapasitas menandatangani perjanjian (20)Ijin usaha konstruksi (70)Sertifikat badan usaha jasa konstruksi (80)Surat pernyataan tidak dalam pengawasan pengadilan (60)NPWP (57)</t>
  </si>
  <si>
    <t>Catatan perusahaan Kontrak gagal (7%)Ketersediaan stok inventory (11%)K3L (5%)</t>
  </si>
  <si>
    <t>Tujuan Jadwal Waku(0.306)</t>
  </si>
  <si>
    <t>Rencana pemeliharaan (8%)</t>
  </si>
  <si>
    <t>Efisiensi Karyawan(0.577)</t>
  </si>
  <si>
    <t>Kemampuan meyediakan personil(93)</t>
  </si>
  <si>
    <t>Kualifikasi karyawan (3%)</t>
  </si>
  <si>
    <t>Ijin usaha jasa penunjang tenaga listrik (70)</t>
  </si>
  <si>
    <t>Pengalaman umum (4%)</t>
  </si>
  <si>
    <t>Kapasitas Perencanaan dan Kontrol Proyek(0.423)</t>
  </si>
  <si>
    <t>Sistem manajemen keselamatan dan kesehatan kerja / setara (78)</t>
  </si>
  <si>
    <t>Pemahaman terhadap proyek (13%)</t>
  </si>
  <si>
    <t>Formula</t>
  </si>
  <si>
    <t>Data asli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</si>
</sst>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8"/>
      <color theme="1"/>
      <name val="Aptos Narrow"/>
      <family val="2"/>
      <scheme val="minor"/>
    </font>
    <font>
      <sz val="11"/>
      <color theme="1"/>
      <name val="Aptos Narrow"/>
      <family val="2"/>
      <scheme val="minor"/>
    </font>
    <font>
      <sz val="8"/>
      <color theme="1"/>
      <name val="Aptos Narrow"/>
      <family val="2"/>
      <scheme val="minor"/>
    </font>
    <font>
      <b/>
      <sz val="8"/>
      <color theme="0"/>
      <name val="Arial"/>
      <family val="2"/>
    </font>
    <font>
      <b/>
      <sz val="11"/>
      <color theme="1"/>
      <name val="Aptos Narrow"/>
      <family val="2"/>
      <scheme val="minor"/>
    </font>
    <font>
      <sz val="8"/>
      <color theme="1"/>
      <name val="Arial"/>
      <family val="2"/>
    </font>
    <font>
      <b/>
      <sz val="8"/>
      <color theme="1"/>
      <name val="Aptos Narrow"/>
      <family val="2"/>
      <scheme val="minor"/>
    </font>
    <font>
      <b/>
      <sz val="8"/>
      <color theme="1"/>
      <name val="Aptos Narrow"/>
      <family val="2"/>
      <scheme val="minor"/>
    </font>
    <font>
      <b/>
      <sz val="8"/>
      <color theme="1"/>
      <name val="Arial"/>
      <family val="2"/>
    </font>
    <font>
      <sz val="11"/>
      <color theme="0"/>
      <name val="Aptos Narrow"/>
      <family val="2"/>
      <scheme val="minor"/>
    </font>
    <font>
      <b/>
      <sz val="8"/>
      <color theme="0"/>
      <name val="Aptos Narrow"/>
      <family val="2"/>
      <scheme val="minor"/>
    </font>
    <font>
      <i/>
      <sz val="8"/>
      <color theme="0"/>
      <name val="Aptos Narrow"/>
      <family val="2"/>
      <scheme val="minor"/>
    </font>
    <font>
      <sz val="8"/>
      <color theme="0"/>
      <name val="Aptos Narrow"/>
      <family val="2"/>
      <scheme val="minor"/>
    </font>
  </fonts>
  <fills count="25">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249977111117893"/>
        <bgColor indexed="64"/>
      </patternFill>
    </fill>
    <fill>
      <patternFill patternType="solid">
        <fgColor theme="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FF99FF"/>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3" tint="0.499984740745262"/>
        <bgColor indexed="64"/>
      </patternFill>
    </fill>
  </fills>
  <borders count="1">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47">
    <xf numFmtId="0" fontId="0" fillId="0" borderId="0" xfId="0"/>
    <xf numFmtId="0" fontId="1" fillId="2" borderId="0" xfId="0" applyFont="1" applyFill="1" applyAlignment="1">
      <alignment horizontal="center" vertical="center"/>
    </xf>
    <xf numFmtId="0" fontId="2" fillId="3" borderId="0" xfId="0" applyFont="1" applyFill="1" applyAlignment="1">
      <alignment wrapText="1"/>
    </xf>
    <xf numFmtId="0" fontId="2" fillId="3" borderId="0" xfId="0" applyFont="1" applyFill="1"/>
    <xf numFmtId="2" fontId="0" fillId="0" borderId="0" xfId="0" applyNumberFormat="1"/>
    <xf numFmtId="0" fontId="2" fillId="4" borderId="0" xfId="0" applyFont="1" applyFill="1" applyAlignment="1">
      <alignment wrapText="1"/>
    </xf>
    <xf numFmtId="10" fontId="5" fillId="15" borderId="0" xfId="2" applyNumberFormat="1" applyFont="1" applyFill="1" applyBorder="1"/>
    <xf numFmtId="0" fontId="10" fillId="0" borderId="0" xfId="0" applyFont="1" applyAlignment="1">
      <alignment horizontal="left" vertical="top"/>
    </xf>
    <xf numFmtId="0" fontId="5" fillId="0" borderId="0" xfId="0" applyFont="1"/>
    <xf numFmtId="0" fontId="5" fillId="0" borderId="0" xfId="0" applyFont="1" applyAlignment="1">
      <alignment wrapText="1"/>
    </xf>
    <xf numFmtId="10" fontId="5" fillId="0" borderId="0" xfId="2" applyNumberFormat="1" applyFont="1" applyBorder="1"/>
    <xf numFmtId="0" fontId="10" fillId="5" borderId="0" xfId="0" applyFont="1" applyFill="1" applyAlignment="1">
      <alignment horizontal="left" vertical="top"/>
    </xf>
    <xf numFmtId="0" fontId="10" fillId="0" borderId="0" xfId="0" applyFont="1"/>
    <xf numFmtId="0" fontId="10" fillId="5" borderId="0" xfId="0" applyFont="1" applyFill="1"/>
    <xf numFmtId="0" fontId="9" fillId="0" borderId="0" xfId="0" applyFont="1" applyAlignment="1">
      <alignment wrapText="1"/>
    </xf>
    <xf numFmtId="0" fontId="8" fillId="19" borderId="0" xfId="0" applyFont="1" applyFill="1" applyAlignment="1">
      <alignment horizontal="center" vertical="center" wrapText="1"/>
    </xf>
    <xf numFmtId="0" fontId="5" fillId="19" borderId="0" xfId="0" applyFont="1" applyFill="1"/>
    <xf numFmtId="10" fontId="5" fillId="19" borderId="0" xfId="2" applyNumberFormat="1" applyFont="1" applyFill="1" applyBorder="1"/>
    <xf numFmtId="0" fontId="5" fillId="19" borderId="0" xfId="0" applyFont="1" applyFill="1" applyAlignment="1">
      <alignment wrapText="1"/>
    </xf>
    <xf numFmtId="0" fontId="8" fillId="22" borderId="0" xfId="0" applyFont="1" applyFill="1" applyAlignment="1">
      <alignment horizontal="center" vertical="center" wrapText="1"/>
    </xf>
    <xf numFmtId="0" fontId="5" fillId="22" borderId="0" xfId="0" applyFont="1" applyFill="1"/>
    <xf numFmtId="10" fontId="5" fillId="22" borderId="0" xfId="2" applyNumberFormat="1" applyFont="1" applyFill="1" applyBorder="1"/>
    <xf numFmtId="0" fontId="5" fillId="22" borderId="0" xfId="0" applyFont="1" applyFill="1" applyAlignment="1">
      <alignment wrapText="1"/>
    </xf>
    <xf numFmtId="0" fontId="8" fillId="5" borderId="0" xfId="0" applyFont="1" applyFill="1" applyAlignment="1">
      <alignment horizontal="center" vertical="center" wrapText="1"/>
    </xf>
    <xf numFmtId="0" fontId="5" fillId="5" borderId="0" xfId="0" applyFont="1" applyFill="1"/>
    <xf numFmtId="10" fontId="5" fillId="5" borderId="0" xfId="2" applyNumberFormat="1" applyFont="1" applyFill="1" applyBorder="1"/>
    <xf numFmtId="0" fontId="5" fillId="5" borderId="0" xfId="0" applyFont="1" applyFill="1" applyAlignment="1">
      <alignment wrapText="1"/>
    </xf>
    <xf numFmtId="0" fontId="5" fillId="15" borderId="0" xfId="0" applyFont="1" applyFill="1"/>
    <xf numFmtId="0" fontId="5" fillId="15" borderId="0" xfId="0" applyFont="1" applyFill="1" applyAlignment="1">
      <alignment wrapText="1"/>
    </xf>
    <xf numFmtId="0" fontId="8" fillId="23" borderId="0" xfId="0" applyFont="1" applyFill="1" applyAlignment="1">
      <alignment horizontal="center" vertical="center" wrapText="1"/>
    </xf>
    <xf numFmtId="43" fontId="5" fillId="23" borderId="0" xfId="1" applyFont="1" applyFill="1" applyBorder="1"/>
    <xf numFmtId="10" fontId="5" fillId="23" borderId="0" xfId="2" applyNumberFormat="1" applyFont="1" applyFill="1" applyBorder="1"/>
    <xf numFmtId="0" fontId="5" fillId="23" borderId="0" xfId="0" applyFont="1" applyFill="1"/>
    <xf numFmtId="10" fontId="5" fillId="16" borderId="0" xfId="2" applyNumberFormat="1" applyFont="1" applyFill="1" applyBorder="1" applyAlignment="1">
      <alignment wrapText="1"/>
    </xf>
    <xf numFmtId="0" fontId="11" fillId="22"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xf numFmtId="10" fontId="5" fillId="8" borderId="0" xfId="2" applyNumberFormat="1" applyFont="1" applyFill="1" applyBorder="1"/>
    <xf numFmtId="0" fontId="8" fillId="9" borderId="0" xfId="0" applyFont="1" applyFill="1" applyAlignment="1">
      <alignment horizontal="center" vertical="center" wrapText="1"/>
    </xf>
    <xf numFmtId="0" fontId="5" fillId="9" borderId="0" xfId="0" applyFont="1" applyFill="1"/>
    <xf numFmtId="10" fontId="5" fillId="9" borderId="0" xfId="2" applyNumberFormat="1" applyFont="1" applyFill="1" applyBorder="1"/>
    <xf numFmtId="0" fontId="5" fillId="9" borderId="0" xfId="0" applyFont="1" applyFill="1" applyAlignment="1">
      <alignment wrapText="1"/>
    </xf>
    <xf numFmtId="0" fontId="8" fillId="24" borderId="0" xfId="0" applyFont="1" applyFill="1" applyAlignment="1">
      <alignment horizontal="center" vertical="center" wrapText="1"/>
    </xf>
    <xf numFmtId="0" fontId="5" fillId="24" borderId="0" xfId="0" applyFont="1" applyFill="1"/>
    <xf numFmtId="10" fontId="5" fillId="24" borderId="0" xfId="2" applyNumberFormat="1" applyFont="1" applyFill="1" applyBorder="1"/>
    <xf numFmtId="0" fontId="5" fillId="24" borderId="0" xfId="0" applyFont="1" applyFill="1" applyAlignment="1">
      <alignment wrapText="1"/>
    </xf>
    <xf numFmtId="9" fontId="5" fillId="0" borderId="0" xfId="2" applyFont="1" applyBorder="1" applyAlignment="1">
      <alignment wrapText="1"/>
    </xf>
    <xf numFmtId="9" fontId="5" fillId="0" borderId="0" xfId="2" applyFont="1" applyBorder="1"/>
    <xf numFmtId="0" fontId="2" fillId="0" borderId="0" xfId="0" applyFont="1" applyAlignment="1">
      <alignment horizontal="center" vertical="top" wrapText="1"/>
    </xf>
    <xf numFmtId="0" fontId="0" fillId="0" borderId="0" xfId="0" applyAlignment="1">
      <alignment wrapText="1"/>
    </xf>
    <xf numFmtId="10" fontId="0" fillId="0" borderId="0" xfId="2" applyNumberFormat="1" applyFont="1" applyBorder="1"/>
    <xf numFmtId="0" fontId="0" fillId="0" borderId="0" xfId="0" applyAlignment="1">
      <alignment vertical="center" wrapText="1"/>
    </xf>
    <xf numFmtId="0" fontId="2" fillId="5" borderId="0" xfId="0" applyFont="1" applyFill="1" applyAlignment="1">
      <alignment horizontal="left" vertical="top"/>
    </xf>
    <xf numFmtId="0" fontId="2" fillId="0" borderId="0" xfId="0" applyFont="1" applyAlignment="1">
      <alignment horizontal="left" vertical="top" wrapText="1"/>
    </xf>
    <xf numFmtId="0" fontId="2" fillId="5" borderId="0" xfId="0" applyFont="1" applyFill="1" applyAlignment="1">
      <alignment vertical="center" wrapText="1"/>
    </xf>
    <xf numFmtId="0" fontId="6" fillId="2" borderId="0" xfId="0" applyFont="1" applyFill="1" applyAlignment="1">
      <alignment vertical="center"/>
    </xf>
    <xf numFmtId="0" fontId="5" fillId="0" borderId="0" xfId="0" applyFont="1" applyAlignment="1">
      <alignment horizontal="left" vertical="center"/>
    </xf>
    <xf numFmtId="10" fontId="7" fillId="0" borderId="0" xfId="2" applyNumberFormat="1" applyFont="1" applyBorder="1" applyAlignment="1">
      <alignment wrapText="1"/>
    </xf>
    <xf numFmtId="0" fontId="6" fillId="2" borderId="0" xfId="0" applyFont="1" applyFill="1" applyAlignment="1">
      <alignment vertical="center" wrapText="1"/>
    </xf>
    <xf numFmtId="0" fontId="8" fillId="6" borderId="0" xfId="0" applyFont="1" applyFill="1" applyAlignment="1">
      <alignment horizontal="left" vertical="center" wrapText="1"/>
    </xf>
    <xf numFmtId="0" fontId="5" fillId="6" borderId="0" xfId="0" applyFont="1" applyFill="1"/>
    <xf numFmtId="10" fontId="5" fillId="6" borderId="0" xfId="2" applyNumberFormat="1" applyFont="1" applyFill="1" applyBorder="1"/>
    <xf numFmtId="0" fontId="5" fillId="6" borderId="0" xfId="0" applyFont="1" applyFill="1" applyAlignment="1">
      <alignment wrapText="1"/>
    </xf>
    <xf numFmtId="0" fontId="5" fillId="6" borderId="0" xfId="0" applyFont="1" applyFill="1" applyAlignment="1">
      <alignment vertical="center" wrapText="1"/>
    </xf>
    <xf numFmtId="0" fontId="8" fillId="7" borderId="0" xfId="0" applyFont="1" applyFill="1" applyAlignment="1">
      <alignment horizontal="left" vertical="center" wrapText="1"/>
    </xf>
    <xf numFmtId="0" fontId="5" fillId="7" borderId="0" xfId="0" applyFont="1" applyFill="1"/>
    <xf numFmtId="10" fontId="5" fillId="7" borderId="0" xfId="2" applyNumberFormat="1" applyFont="1" applyFill="1" applyBorder="1"/>
    <xf numFmtId="0" fontId="5" fillId="7" borderId="0" xfId="0" applyFont="1" applyFill="1" applyAlignment="1">
      <alignment wrapText="1"/>
    </xf>
    <xf numFmtId="0" fontId="5" fillId="7" borderId="0" xfId="0" applyFont="1" applyFill="1" applyAlignment="1">
      <alignment vertical="center" wrapText="1"/>
    </xf>
    <xf numFmtId="0" fontId="8" fillId="8" borderId="0" xfId="0" applyFont="1" applyFill="1" applyAlignment="1">
      <alignment horizontal="left" vertical="center" wrapText="1"/>
    </xf>
    <xf numFmtId="0" fontId="5" fillId="8" borderId="0" xfId="0" applyFont="1" applyFill="1" applyAlignment="1">
      <alignment wrapText="1"/>
    </xf>
    <xf numFmtId="0" fontId="5" fillId="8" borderId="0" xfId="0" applyFont="1" applyFill="1" applyAlignment="1">
      <alignment vertical="center" wrapText="1"/>
    </xf>
    <xf numFmtId="0" fontId="8" fillId="9" borderId="0" xfId="0" applyFont="1" applyFill="1" applyAlignment="1">
      <alignment horizontal="left" vertical="center" wrapText="1"/>
    </xf>
    <xf numFmtId="0" fontId="5" fillId="9" borderId="0" xfId="0" applyFont="1" applyFill="1" applyAlignment="1">
      <alignment vertical="center" wrapText="1"/>
    </xf>
    <xf numFmtId="0" fontId="5" fillId="10" borderId="0" xfId="0" applyFont="1" applyFill="1" applyAlignment="1">
      <alignment wrapText="1"/>
    </xf>
    <xf numFmtId="0" fontId="5" fillId="10" borderId="0" xfId="0" applyFont="1" applyFill="1"/>
    <xf numFmtId="10" fontId="5" fillId="10" borderId="0" xfId="2" applyNumberFormat="1" applyFont="1" applyFill="1" applyBorder="1"/>
    <xf numFmtId="0" fontId="5" fillId="10" borderId="0" xfId="0" applyFont="1" applyFill="1" applyAlignment="1">
      <alignment vertical="center" wrapText="1"/>
    </xf>
    <xf numFmtId="0" fontId="8" fillId="11" borderId="0" xfId="0" applyFont="1" applyFill="1" applyAlignment="1">
      <alignment horizontal="left" vertical="center" wrapText="1"/>
    </xf>
    <xf numFmtId="0" fontId="5" fillId="11" borderId="0" xfId="0" applyFont="1" applyFill="1"/>
    <xf numFmtId="10" fontId="5" fillId="11" borderId="0" xfId="2" applyNumberFormat="1" applyFont="1" applyFill="1" applyBorder="1"/>
    <xf numFmtId="0" fontId="5" fillId="11" borderId="0" xfId="0" applyFont="1" applyFill="1" applyAlignment="1">
      <alignment wrapText="1"/>
    </xf>
    <xf numFmtId="0" fontId="5" fillId="11" borderId="0" xfId="0" applyFont="1" applyFill="1" applyAlignment="1">
      <alignment vertical="center" wrapText="1"/>
    </xf>
    <xf numFmtId="0" fontId="8" fillId="12" borderId="0" xfId="0" applyFont="1" applyFill="1" applyAlignment="1">
      <alignment horizontal="left" vertical="center" wrapText="1"/>
    </xf>
    <xf numFmtId="0" fontId="5" fillId="12" borderId="0" xfId="0" applyFont="1" applyFill="1"/>
    <xf numFmtId="10" fontId="5" fillId="12" borderId="0" xfId="2" applyNumberFormat="1" applyFont="1" applyFill="1" applyBorder="1"/>
    <xf numFmtId="0" fontId="5" fillId="12" borderId="0" xfId="0" applyFont="1" applyFill="1" applyAlignment="1">
      <alignment wrapText="1"/>
    </xf>
    <xf numFmtId="0" fontId="5" fillId="12" borderId="0" xfId="0" applyFont="1" applyFill="1" applyAlignment="1">
      <alignment vertical="center" wrapText="1"/>
    </xf>
    <xf numFmtId="0" fontId="8" fillId="13" borderId="0" xfId="0" applyFont="1" applyFill="1" applyAlignment="1">
      <alignment horizontal="left" vertical="center" wrapText="1"/>
    </xf>
    <xf numFmtId="0" fontId="5" fillId="13" borderId="0" xfId="0" applyFont="1" applyFill="1"/>
    <xf numFmtId="10" fontId="5" fillId="13" borderId="0" xfId="2" applyNumberFormat="1" applyFont="1" applyFill="1" applyBorder="1"/>
    <xf numFmtId="0" fontId="5" fillId="13" borderId="0" xfId="0" applyFont="1" applyFill="1" applyAlignment="1">
      <alignment wrapText="1"/>
    </xf>
    <xf numFmtId="0" fontId="5" fillId="13" borderId="0" xfId="0" applyFont="1" applyFill="1" applyAlignment="1">
      <alignment vertical="center" wrapText="1"/>
    </xf>
    <xf numFmtId="0" fontId="8" fillId="14" borderId="0" xfId="0" applyFont="1" applyFill="1" applyAlignment="1">
      <alignment horizontal="left" vertical="center" wrapText="1"/>
    </xf>
    <xf numFmtId="0" fontId="5" fillId="14" borderId="0" xfId="0" applyFont="1" applyFill="1"/>
    <xf numFmtId="10" fontId="5" fillId="14" borderId="0" xfId="2" applyNumberFormat="1" applyFont="1" applyFill="1" applyBorder="1"/>
    <xf numFmtId="0" fontId="5" fillId="14" borderId="0" xfId="0" applyFont="1" applyFill="1" applyAlignment="1">
      <alignment wrapText="1"/>
    </xf>
    <xf numFmtId="0" fontId="5" fillId="14" borderId="0" xfId="0" applyFont="1" applyFill="1" applyAlignment="1">
      <alignment vertical="center" wrapText="1"/>
    </xf>
    <xf numFmtId="0" fontId="8" fillId="15" borderId="0" xfId="0" applyFont="1" applyFill="1" applyAlignment="1">
      <alignment horizontal="left" vertical="center" wrapText="1"/>
    </xf>
    <xf numFmtId="0" fontId="5" fillId="15" borderId="0" xfId="0" applyFont="1" applyFill="1" applyAlignment="1">
      <alignment vertical="center" wrapText="1"/>
    </xf>
    <xf numFmtId="0" fontId="8" fillId="16" borderId="0" xfId="0" applyFont="1" applyFill="1" applyAlignment="1">
      <alignment horizontal="left" vertical="center" wrapText="1"/>
    </xf>
    <xf numFmtId="0" fontId="5" fillId="16" borderId="0" xfId="0" applyFont="1" applyFill="1"/>
    <xf numFmtId="10" fontId="5" fillId="16" borderId="0" xfId="2" applyNumberFormat="1" applyFont="1" applyFill="1" applyBorder="1"/>
    <xf numFmtId="0" fontId="5" fillId="16" borderId="0" xfId="0" applyFont="1" applyFill="1" applyAlignment="1">
      <alignment wrapText="1"/>
    </xf>
    <xf numFmtId="0" fontId="5" fillId="16" borderId="0" xfId="0" applyFont="1" applyFill="1" applyAlignment="1">
      <alignment vertical="center" wrapText="1"/>
    </xf>
    <xf numFmtId="0" fontId="8" fillId="17" borderId="0" xfId="0" applyFont="1" applyFill="1" applyAlignment="1">
      <alignment vertical="center" wrapText="1"/>
    </xf>
    <xf numFmtId="0" fontId="5" fillId="17" borderId="0" xfId="0" applyFont="1" applyFill="1"/>
    <xf numFmtId="10" fontId="5" fillId="17" borderId="0" xfId="2" applyNumberFormat="1" applyFont="1" applyFill="1" applyBorder="1"/>
    <xf numFmtId="0" fontId="5" fillId="17" borderId="0" xfId="0" applyFont="1" applyFill="1" applyAlignment="1">
      <alignment wrapText="1"/>
    </xf>
    <xf numFmtId="0" fontId="5" fillId="17" borderId="0" xfId="0" applyFont="1" applyFill="1" applyAlignment="1">
      <alignment vertical="center" wrapText="1"/>
    </xf>
    <xf numFmtId="0" fontId="8" fillId="18" borderId="0" xfId="0" applyFont="1" applyFill="1" applyAlignment="1">
      <alignment vertical="center" wrapText="1"/>
    </xf>
    <xf numFmtId="0" fontId="5" fillId="18" borderId="0" xfId="0" applyFont="1" applyFill="1"/>
    <xf numFmtId="10" fontId="5" fillId="18" borderId="0" xfId="2" applyNumberFormat="1" applyFont="1" applyFill="1" applyBorder="1"/>
    <xf numFmtId="0" fontId="5" fillId="18" borderId="0" xfId="0" applyFont="1" applyFill="1" applyAlignment="1">
      <alignment horizontal="left" vertical="center" wrapText="1"/>
    </xf>
    <xf numFmtId="0" fontId="5" fillId="18" borderId="0" xfId="0" applyFont="1" applyFill="1" applyAlignment="1">
      <alignment vertical="center" wrapText="1"/>
    </xf>
    <xf numFmtId="0" fontId="8" fillId="6" borderId="0" xfId="0" applyFont="1" applyFill="1" applyAlignment="1">
      <alignment vertical="center" wrapText="1"/>
    </xf>
    <xf numFmtId="0" fontId="5" fillId="0" borderId="0" xfId="0" applyFont="1" applyAlignment="1">
      <alignment vertical="center" wrapText="1"/>
    </xf>
    <xf numFmtId="0" fontId="8" fillId="19" borderId="0" xfId="0" applyFont="1" applyFill="1" applyAlignment="1">
      <alignment horizontal="left" vertical="center" wrapText="1"/>
    </xf>
    <xf numFmtId="0" fontId="5" fillId="19" borderId="0" xfId="0" applyFont="1" applyFill="1" applyAlignment="1">
      <alignment vertical="center" wrapText="1"/>
    </xf>
    <xf numFmtId="0" fontId="8" fillId="20" borderId="0" xfId="0" applyFont="1" applyFill="1" applyAlignment="1">
      <alignment horizontal="left" vertical="center" wrapText="1"/>
    </xf>
    <xf numFmtId="0" fontId="5" fillId="20" borderId="0" xfId="0" applyFont="1" applyFill="1"/>
    <xf numFmtId="10" fontId="5" fillId="20" borderId="0" xfId="2" applyNumberFormat="1" applyFont="1" applyFill="1" applyBorder="1"/>
    <xf numFmtId="0" fontId="5" fillId="20" borderId="0" xfId="0" applyFont="1" applyFill="1" applyAlignment="1">
      <alignment wrapText="1"/>
    </xf>
    <xf numFmtId="0" fontId="5" fillId="20" borderId="0" xfId="0" applyFont="1" applyFill="1" applyAlignment="1">
      <alignment vertical="center" wrapText="1"/>
    </xf>
    <xf numFmtId="0" fontId="8" fillId="21" borderId="0" xfId="0" applyFont="1" applyFill="1" applyAlignment="1">
      <alignment horizontal="left" vertical="center" wrapText="1"/>
    </xf>
    <xf numFmtId="0" fontId="5" fillId="21" borderId="0" xfId="0" applyFont="1" applyFill="1"/>
    <xf numFmtId="10" fontId="5" fillId="21" borderId="0" xfId="2" applyNumberFormat="1" applyFont="1" applyFill="1" applyBorder="1"/>
    <xf numFmtId="0" fontId="5" fillId="21" borderId="0" xfId="0" applyFont="1" applyFill="1" applyAlignment="1">
      <alignment wrapText="1"/>
    </xf>
    <xf numFmtId="0" fontId="5" fillId="21" borderId="0" xfId="0" applyFont="1" applyFill="1" applyAlignment="1">
      <alignment vertical="center" wrapText="1"/>
    </xf>
    <xf numFmtId="0" fontId="8" fillId="22" borderId="0" xfId="0" applyFont="1" applyFill="1" applyAlignment="1">
      <alignment horizontal="left" vertical="center" wrapText="1"/>
    </xf>
    <xf numFmtId="0" fontId="5" fillId="22" borderId="0" xfId="0" applyFont="1" applyFill="1" applyAlignment="1">
      <alignment vertical="center" wrapText="1"/>
    </xf>
    <xf numFmtId="0" fontId="9" fillId="0" borderId="0" xfId="0" applyFont="1" applyAlignment="1">
      <alignment vertical="center"/>
    </xf>
    <xf numFmtId="10" fontId="9" fillId="0" borderId="0" xfId="2" applyNumberFormat="1" applyFont="1" applyBorder="1" applyAlignment="1">
      <alignment vertical="center"/>
    </xf>
    <xf numFmtId="0" fontId="9" fillId="0" borderId="0" xfId="0" applyFont="1" applyAlignment="1">
      <alignment vertical="center" wrapText="1"/>
    </xf>
    <xf numFmtId="0" fontId="6" fillId="2" borderId="0" xfId="0" applyFont="1" applyFill="1" applyAlignment="1">
      <alignment horizontal="center" vertical="center" wrapText="1"/>
    </xf>
    <xf numFmtId="0" fontId="3" fillId="0" borderId="0" xfId="0" applyFont="1" applyAlignment="1">
      <alignment horizontal="center"/>
    </xf>
    <xf numFmtId="0" fontId="1" fillId="2" borderId="0" xfId="0" applyFont="1" applyFill="1" applyAlignment="1">
      <alignment horizontal="center" vertical="center"/>
    </xf>
    <xf numFmtId="0" fontId="2" fillId="0" borderId="0" xfId="0" applyFont="1" applyAlignment="1">
      <alignment horizontal="center"/>
    </xf>
    <xf numFmtId="0" fontId="13" fillId="2" borderId="0" xfId="0" applyFont="1" applyFill="1" applyAlignment="1">
      <alignment horizontal="left" vertical="top"/>
    </xf>
    <xf numFmtId="0" fontId="14" fillId="2" borderId="0" xfId="0" applyFont="1" applyFill="1"/>
    <xf numFmtId="0" fontId="15" fillId="2" borderId="0" xfId="0" applyFont="1" applyFill="1"/>
    <xf numFmtId="0" fontId="15" fillId="2" borderId="0" xfId="0" applyFont="1" applyFill="1" applyAlignment="1">
      <alignment wrapText="1"/>
    </xf>
    <xf numFmtId="0" fontId="1" fillId="2" borderId="0" xfId="0" applyFont="1" applyFill="1" applyAlignment="1">
      <alignment horizontal="center" vertical="top" wrapText="1"/>
    </xf>
    <xf numFmtId="10" fontId="14" fillId="2" borderId="0" xfId="2" applyNumberFormat="1" applyFont="1" applyFill="1" applyBorder="1"/>
    <xf numFmtId="0" fontId="12" fillId="2" borderId="0" xfId="0" applyFont="1" applyFill="1" applyAlignment="1">
      <alignment wrapText="1"/>
    </xf>
    <xf numFmtId="0" fontId="12" fillId="2" borderId="0" xfId="0" applyFont="1" applyFill="1" applyAlignment="1">
      <alignment vertical="center" wrapText="1"/>
    </xf>
    <xf numFmtId="0" fontId="12" fillId="2" borderId="0" xfId="0"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Benita Aryani Dewi" id="{6C4179D4-3077-4069-8D0D-85C331056352}" userId="S::benita.aryani@mowilex.co.id::de2c3c68-3b06-498c-8bd1-e63f9f26f7c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4-10-02T14:45:24.86" personId="{6C4179D4-3077-4069-8D0D-85C331056352}" id="{7F1601F0-225A-4C7A-89DD-3E7AE4705BBE}">
    <text>PEMILIHAN REKANAN JASA KONSTRUKSI/KONTRAKTOR DENGAN METODE AHP (STUDI KASUS PENGADAAN DI UNIVERSITAS SEBELAS MARET (UNS) SURAKARTA) 
Proyek gedung sudah beroperasi</text>
  </threadedComment>
  <threadedComment ref="E3" dT="2024-10-02T14:39:03.96" personId="{6C4179D4-3077-4069-8D0D-85C331056352}" id="{F1D3F9A7-9DCF-4B19-AB2E-978948D1EDE2}">
    <text>"Extended review of contractor selection in construction projects"
proyek awal</text>
  </threadedComment>
  <threadedComment ref="H3" dT="2024-10-02T22:23:16.73" personId="{6C4179D4-3077-4069-8D0D-85C331056352}" id="{258C3B6F-3124-4C61-9CE8-1C155E0701A0}">
    <text>Analisa Aspek Kualitatif Pemilihan Kontraktor untuk Pekerjaan Renovasi / Perbaikan Gedung Bersejarah
Proyek Gedung yang telah beroperasi</text>
  </threadedComment>
  <threadedComment ref="K3" dT="2024-10-02T14:41:49.40" personId="{6C4179D4-3077-4069-8D0D-85C331056352}" id="{EA54C1BC-D71C-4A60-9B1C-FC279E54A20D}">
    <text>Kriteria Pemilihan Kontraktor pada Proyek Konstruksi bagi Pengguna Jasa Swasta. (Studi Kasus: Sektor Pakan Ternak) dengan Metode Analisis Faktor
Proyek gedung sudah beroperasi</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9DBA-22BB-4D04-B8CD-DF90627FEE19}">
  <dimension ref="B1:M48"/>
  <sheetViews>
    <sheetView topLeftCell="G1" workbookViewId="0">
      <selection activeCell="C4" sqref="C4"/>
    </sheetView>
  </sheetViews>
  <sheetFormatPr defaultColWidth="9" defaultRowHeight="10.5" x14ac:dyDescent="0.25"/>
  <cols>
    <col min="1" max="1" width="9" style="8"/>
    <col min="2" max="2" width="45.7265625" style="8" bestFit="1" customWidth="1"/>
    <col min="3" max="3" width="9" style="8" customWidth="1"/>
    <col min="4" max="4" width="15.90625" style="10" customWidth="1"/>
    <col min="5" max="5" width="38.7265625" style="9" customWidth="1"/>
    <col min="6" max="6" width="9" style="8" customWidth="1"/>
    <col min="7" max="7" width="13.26953125" style="10" customWidth="1"/>
    <col min="8" max="8" width="43.90625" style="116" bestFit="1" customWidth="1"/>
    <col min="9" max="9" width="9" style="8" customWidth="1"/>
    <col min="10" max="10" width="12.36328125" style="10" customWidth="1"/>
    <col min="11" max="11" width="52.08984375" style="116" customWidth="1"/>
    <col min="12" max="12" width="9" style="8" customWidth="1"/>
    <col min="13" max="13" width="12" style="10" customWidth="1"/>
    <col min="14" max="16384" width="9" style="8"/>
  </cols>
  <sheetData>
    <row r="1" spans="2:13" customFormat="1" ht="43.5" x14ac:dyDescent="0.35">
      <c r="B1" s="48" t="s">
        <v>28</v>
      </c>
      <c r="D1" s="10"/>
      <c r="E1" s="49"/>
      <c r="G1" s="50"/>
      <c r="H1" s="51"/>
      <c r="J1" s="50"/>
      <c r="K1" s="51"/>
      <c r="M1" s="50"/>
    </row>
    <row r="2" spans="2:13" s="146" customFormat="1" ht="14.5" x14ac:dyDescent="0.35">
      <c r="B2" s="142"/>
      <c r="C2" s="143" t="s">
        <v>142</v>
      </c>
      <c r="D2" s="143" t="s">
        <v>141</v>
      </c>
      <c r="E2" s="144"/>
      <c r="F2" s="143" t="s">
        <v>142</v>
      </c>
      <c r="G2" s="143" t="s">
        <v>141</v>
      </c>
      <c r="H2" s="145"/>
      <c r="I2" s="143" t="s">
        <v>142</v>
      </c>
      <c r="J2" s="143" t="s">
        <v>141</v>
      </c>
      <c r="K2" s="145"/>
      <c r="L2" s="143" t="s">
        <v>142</v>
      </c>
      <c r="M2" s="143" t="s">
        <v>141</v>
      </c>
    </row>
    <row r="3" spans="2:13" customFormat="1" ht="14.5" x14ac:dyDescent="0.35">
      <c r="B3" s="52" t="s">
        <v>29</v>
      </c>
      <c r="D3" s="50"/>
      <c r="E3" s="53" t="s">
        <v>30</v>
      </c>
      <c r="G3" s="50"/>
      <c r="H3" s="54" t="s">
        <v>31</v>
      </c>
      <c r="J3" s="50"/>
      <c r="K3" s="54" t="s">
        <v>32</v>
      </c>
      <c r="M3" s="50"/>
    </row>
    <row r="4" spans="2:13" ht="43.5" x14ac:dyDescent="0.35">
      <c r="B4" s="55" t="s">
        <v>33</v>
      </c>
      <c r="C4" s="56" t="s">
        <v>34</v>
      </c>
      <c r="D4" s="57" t="s">
        <v>35</v>
      </c>
      <c r="E4" s="58" t="s">
        <v>36</v>
      </c>
      <c r="F4" s="56" t="s">
        <v>34</v>
      </c>
      <c r="G4" s="57" t="s">
        <v>35</v>
      </c>
      <c r="H4" s="58" t="s">
        <v>37</v>
      </c>
      <c r="I4" s="56" t="s">
        <v>34</v>
      </c>
      <c r="J4" s="57" t="s">
        <v>35</v>
      </c>
      <c r="K4" s="58" t="s">
        <v>36</v>
      </c>
      <c r="L4" s="56" t="s">
        <v>34</v>
      </c>
      <c r="M4" s="57" t="s">
        <v>35</v>
      </c>
    </row>
    <row r="5" spans="2:13" x14ac:dyDescent="0.25">
      <c r="B5" s="59" t="s">
        <v>38</v>
      </c>
      <c r="C5" s="60">
        <f>(0.324+0.354+0.322)/3</f>
        <v>0.33333333333333331</v>
      </c>
      <c r="D5" s="61">
        <f>C5/$C$48</f>
        <v>4.488963562441483E-2</v>
      </c>
      <c r="E5" s="62" t="s">
        <v>39</v>
      </c>
      <c r="F5" s="60">
        <v>60</v>
      </c>
      <c r="G5" s="61">
        <f>F5/$F$48</f>
        <v>0.15610347231938537</v>
      </c>
      <c r="H5" s="62" t="s">
        <v>39</v>
      </c>
      <c r="I5" s="60">
        <v>0.215</v>
      </c>
      <c r="J5" s="61">
        <f>I5/$I$48</f>
        <v>3.8966923425464428E-2</v>
      </c>
      <c r="K5" s="63" t="s">
        <v>40</v>
      </c>
      <c r="L5" s="60">
        <v>0.69</v>
      </c>
      <c r="M5" s="61">
        <f>L5/$L$48</f>
        <v>7.371794871794872E-2</v>
      </c>
    </row>
    <row r="6" spans="2:13" x14ac:dyDescent="0.25">
      <c r="B6" s="59" t="s">
        <v>41</v>
      </c>
      <c r="C6" s="60"/>
      <c r="D6" s="61"/>
      <c r="E6" s="62"/>
      <c r="F6" s="60"/>
      <c r="G6" s="61"/>
      <c r="H6" s="63"/>
      <c r="I6" s="60"/>
      <c r="J6" s="61"/>
      <c r="K6" s="63"/>
      <c r="L6" s="60"/>
      <c r="M6" s="61"/>
    </row>
    <row r="7" spans="2:13" x14ac:dyDescent="0.25">
      <c r="B7" s="59" t="s">
        <v>42</v>
      </c>
      <c r="C7" s="60"/>
      <c r="D7" s="61"/>
      <c r="E7" s="62"/>
      <c r="F7" s="60"/>
      <c r="G7" s="61"/>
      <c r="H7" s="63"/>
      <c r="I7" s="60"/>
      <c r="J7" s="61"/>
      <c r="K7" s="63"/>
      <c r="L7" s="60"/>
      <c r="M7" s="61"/>
    </row>
    <row r="8" spans="2:13" ht="31.5" x14ac:dyDescent="0.25">
      <c r="B8" s="64" t="s">
        <v>43</v>
      </c>
      <c r="C8" s="65">
        <v>0.32300000000000001</v>
      </c>
      <c r="D8" s="66">
        <f>C8/$C$48</f>
        <v>4.3498056920057974E-2</v>
      </c>
      <c r="E8" s="67" t="s">
        <v>44</v>
      </c>
      <c r="F8" s="65">
        <f>(11.11+15.82+15.82+12.5+9.37)/5</f>
        <v>12.924000000000001</v>
      </c>
      <c r="G8" s="66">
        <f>F8/$F$48</f>
        <v>3.3624687937595613E-2</v>
      </c>
      <c r="H8" s="68" t="s">
        <v>45</v>
      </c>
      <c r="I8" s="65">
        <v>0.38200000000000001</v>
      </c>
      <c r="J8" s="66">
        <f>I8/$I$48</f>
        <v>6.9234254644313542E-2</v>
      </c>
      <c r="K8" s="68" t="s">
        <v>46</v>
      </c>
      <c r="L8" s="65">
        <f>(0.765+0.574)/2</f>
        <v>0.66949999999999998</v>
      </c>
      <c r="M8" s="66">
        <f>L8/$L$48</f>
        <v>7.1527777777777787E-2</v>
      </c>
    </row>
    <row r="9" spans="2:13" ht="63" x14ac:dyDescent="0.25">
      <c r="B9" s="69" t="s">
        <v>47</v>
      </c>
      <c r="C9" s="36">
        <v>9.0999999999999998E-2</v>
      </c>
      <c r="D9" s="37">
        <f>C9/$C$48</f>
        <v>1.2254870525465249E-2</v>
      </c>
      <c r="E9" s="70" t="s">
        <v>48</v>
      </c>
      <c r="F9" s="36">
        <f>(16.67+16.67+16.67+16.67+100+71.42+57.14+50+21.4)/9</f>
        <v>40.737777777777779</v>
      </c>
      <c r="G9" s="37">
        <f>F9/$F$48</f>
        <v>0.10598847609477677</v>
      </c>
      <c r="H9" s="71" t="s">
        <v>49</v>
      </c>
      <c r="I9" s="36">
        <v>0.38600000000000001</v>
      </c>
      <c r="J9" s="37">
        <f>I9/$I$48</f>
        <v>6.9959220661531485E-2</v>
      </c>
      <c r="K9" s="71" t="s">
        <v>50</v>
      </c>
      <c r="L9" s="36">
        <v>0.59399999999999997</v>
      </c>
      <c r="M9" s="37">
        <f>L9/$L$48</f>
        <v>6.3461538461538458E-2</v>
      </c>
    </row>
    <row r="10" spans="2:13" ht="21" x14ac:dyDescent="0.25">
      <c r="B10" s="72" t="s">
        <v>51</v>
      </c>
      <c r="C10" s="39">
        <v>0.254</v>
      </c>
      <c r="D10" s="40">
        <f>C10/$C$48</f>
        <v>3.4205902345804104E-2</v>
      </c>
      <c r="E10" s="41" t="s">
        <v>52</v>
      </c>
      <c r="F10" s="39">
        <f>(22.22+22.22+11.11+11.11)/4</f>
        <v>16.664999999999999</v>
      </c>
      <c r="G10" s="40">
        <f>F10/$F$48</f>
        <v>4.3357739436709286E-2</v>
      </c>
      <c r="H10" s="73"/>
      <c r="I10" s="39"/>
      <c r="J10" s="40"/>
      <c r="K10" s="73" t="s">
        <v>53</v>
      </c>
      <c r="L10" s="39">
        <v>0.66400000000000003</v>
      </c>
      <c r="M10" s="40">
        <f>L10/$L$48</f>
        <v>7.0940170940170952E-2</v>
      </c>
    </row>
    <row r="11" spans="2:13" x14ac:dyDescent="0.25">
      <c r="E11" s="74"/>
      <c r="F11" s="75"/>
      <c r="G11" s="76"/>
      <c r="H11" s="77"/>
      <c r="I11" s="75"/>
      <c r="J11" s="76"/>
      <c r="K11" s="77"/>
      <c r="L11" s="75"/>
      <c r="M11" s="76"/>
    </row>
    <row r="13" spans="2:13" ht="84" x14ac:dyDescent="0.25">
      <c r="B13" s="78" t="s">
        <v>54</v>
      </c>
      <c r="C13" s="79">
        <v>0.185</v>
      </c>
      <c r="D13" s="80">
        <f>C13/$C$48</f>
        <v>2.491374777155023E-2</v>
      </c>
      <c r="E13" s="81" t="s">
        <v>55</v>
      </c>
      <c r="F13" s="79">
        <f>(34.73+28.26+28.26+21.73+21.73+19.56+17.39+13.4+10.86+8.69+8.69+6.53+4.34+2.17+11.11)/15</f>
        <v>15.83</v>
      </c>
      <c r="G13" s="80">
        <f>F13/$F$48</f>
        <v>4.1185299446931174E-2</v>
      </c>
      <c r="H13" s="82"/>
      <c r="I13" s="79"/>
      <c r="J13" s="80"/>
      <c r="K13" s="82" t="s">
        <v>56</v>
      </c>
      <c r="L13" s="79">
        <v>0.49</v>
      </c>
      <c r="M13" s="80">
        <f>L13/$L$48</f>
        <v>5.2350427350427352E-2</v>
      </c>
    </row>
    <row r="15" spans="2:13" ht="31.5" x14ac:dyDescent="0.25">
      <c r="B15" s="83" t="s">
        <v>57</v>
      </c>
      <c r="C15" s="84">
        <v>0.34499999999999997</v>
      </c>
      <c r="D15" s="85">
        <f>C15/$C$48</f>
        <v>4.6460772871269346E-2</v>
      </c>
      <c r="E15" s="86"/>
      <c r="F15" s="84"/>
      <c r="G15" s="85"/>
      <c r="H15" s="87" t="s">
        <v>58</v>
      </c>
      <c r="I15" s="84">
        <v>0.441</v>
      </c>
      <c r="J15" s="85">
        <f>I15/$I$48</f>
        <v>7.9927503398278199E-2</v>
      </c>
      <c r="K15" s="87" t="s">
        <v>59</v>
      </c>
      <c r="L15" s="84">
        <f>(0.558+0.743)/2</f>
        <v>0.65050000000000008</v>
      </c>
      <c r="M15" s="85">
        <f>L15/$L$48</f>
        <v>6.9497863247863265E-2</v>
      </c>
    </row>
    <row r="17" spans="2:13" x14ac:dyDescent="0.25">
      <c r="B17" s="88" t="s">
        <v>60</v>
      </c>
      <c r="C17" s="89">
        <v>0.32200000000000001</v>
      </c>
      <c r="D17" s="90">
        <f>C17/$C$48</f>
        <v>4.3363388013184727E-2</v>
      </c>
      <c r="E17" s="91"/>
      <c r="F17" s="89"/>
      <c r="G17" s="90"/>
      <c r="H17" s="92" t="s">
        <v>61</v>
      </c>
      <c r="I17" s="89">
        <v>0.441</v>
      </c>
      <c r="J17" s="90">
        <f>I17/$I$48</f>
        <v>7.9927503398278199E-2</v>
      </c>
      <c r="K17" s="92"/>
      <c r="L17" s="89"/>
      <c r="M17" s="90"/>
    </row>
    <row r="18" spans="2:13" ht="31.5" x14ac:dyDescent="0.25">
      <c r="B18" s="93" t="s">
        <v>62</v>
      </c>
      <c r="C18" s="94">
        <v>0.22600000000000001</v>
      </c>
      <c r="D18" s="95">
        <f>C18/$C$48</f>
        <v>3.0435172953353257E-2</v>
      </c>
      <c r="E18" s="96" t="s">
        <v>63</v>
      </c>
      <c r="F18" s="94">
        <f>(48.72+41+12.82)/3</f>
        <v>34.18</v>
      </c>
      <c r="G18" s="95">
        <f>F18/$F$48</f>
        <v>8.8926944731276533E-2</v>
      </c>
      <c r="H18" s="97"/>
      <c r="I18" s="94"/>
      <c r="J18" s="95"/>
      <c r="K18" s="97" t="s">
        <v>64</v>
      </c>
      <c r="L18" s="94">
        <f>(0.486+0.64)/2</f>
        <v>0.56299999999999994</v>
      </c>
      <c r="M18" s="95">
        <f>L18/$L$48</f>
        <v>6.0149572649572644E-2</v>
      </c>
    </row>
    <row r="19" spans="2:13" s="27" customFormat="1" x14ac:dyDescent="0.25">
      <c r="B19" s="98"/>
      <c r="D19" s="6"/>
      <c r="E19" s="28"/>
      <c r="G19" s="6"/>
      <c r="H19" s="99"/>
      <c r="J19" s="6"/>
      <c r="K19" s="99"/>
      <c r="M19" s="6"/>
    </row>
    <row r="20" spans="2:13" x14ac:dyDescent="0.25">
      <c r="B20" s="100" t="s">
        <v>65</v>
      </c>
      <c r="C20" s="101">
        <v>0.27800000000000002</v>
      </c>
      <c r="D20" s="102">
        <f>C20/$C$48</f>
        <v>3.743795611076197E-2</v>
      </c>
      <c r="E20" s="103"/>
      <c r="F20" s="101"/>
      <c r="G20" s="102"/>
      <c r="H20" s="104"/>
      <c r="I20" s="101"/>
      <c r="J20" s="102"/>
      <c r="K20" s="104" t="s">
        <v>66</v>
      </c>
      <c r="L20" s="101">
        <v>0.64700000000000002</v>
      </c>
      <c r="M20" s="102">
        <f>L20/$L$48</f>
        <v>6.9123931623931628E-2</v>
      </c>
    </row>
    <row r="21" spans="2:13" ht="21" x14ac:dyDescent="0.25">
      <c r="B21" s="105" t="s">
        <v>67</v>
      </c>
      <c r="C21" s="106">
        <v>0.219</v>
      </c>
      <c r="D21" s="107">
        <f>C21/$C$48</f>
        <v>2.9492490605240545E-2</v>
      </c>
      <c r="E21" s="108" t="s">
        <v>68</v>
      </c>
      <c r="F21" s="106">
        <f>(60.6+9.09+6.06+6.06)/4</f>
        <v>20.452500000000001</v>
      </c>
      <c r="G21" s="107">
        <f>F21/$F$48</f>
        <v>5.3211771126870484E-2</v>
      </c>
      <c r="H21" s="109" t="s">
        <v>69</v>
      </c>
      <c r="I21" s="106">
        <v>0.40500000000000003</v>
      </c>
      <c r="J21" s="107">
        <f>I21/$I$48</f>
        <v>7.3402809243316727E-2</v>
      </c>
      <c r="K21" s="109" t="s">
        <v>70</v>
      </c>
      <c r="L21" s="106">
        <v>0.73899999999999999</v>
      </c>
      <c r="M21" s="107">
        <f>L21/$L$48</f>
        <v>7.895299145299145E-2</v>
      </c>
    </row>
    <row r="22" spans="2:13" x14ac:dyDescent="0.25">
      <c r="B22" s="110" t="s">
        <v>71</v>
      </c>
      <c r="C22" s="111">
        <v>0.78100000000000003</v>
      </c>
      <c r="D22" s="112">
        <f>C22/$C$48</f>
        <v>0.10517641626800396</v>
      </c>
      <c r="E22" s="113" t="s">
        <v>72</v>
      </c>
      <c r="F22" s="111"/>
      <c r="G22" s="112"/>
      <c r="H22" s="114"/>
      <c r="I22" s="111"/>
      <c r="J22" s="112"/>
      <c r="K22" s="114"/>
      <c r="L22" s="111"/>
      <c r="M22" s="112"/>
    </row>
    <row r="24" spans="2:13" ht="31.5" x14ac:dyDescent="0.25">
      <c r="B24" s="59" t="s">
        <v>73</v>
      </c>
      <c r="C24" s="60">
        <v>0.499</v>
      </c>
      <c r="D24" s="61">
        <f>C24/$C$48</f>
        <v>6.7199784529749007E-2</v>
      </c>
      <c r="E24" s="62" t="s">
        <v>74</v>
      </c>
      <c r="F24" s="60">
        <f>(11.11+6.25+3.12+3.12+11.11)/5</f>
        <v>6.9420000000000002</v>
      </c>
      <c r="G24" s="61">
        <f>F24/$F$48</f>
        <v>1.8061171747352889E-2</v>
      </c>
      <c r="H24" s="63" t="s">
        <v>75</v>
      </c>
      <c r="I24" s="60">
        <f>0.297+0.212</f>
        <v>0.50900000000000001</v>
      </c>
      <c r="J24" s="61">
        <f>I24/$I$48</f>
        <v>9.2251925690983241E-2</v>
      </c>
      <c r="K24" s="63"/>
      <c r="L24" s="60"/>
      <c r="M24" s="61"/>
    </row>
    <row r="25" spans="2:13" ht="42" x14ac:dyDescent="0.25">
      <c r="B25" s="59" t="s">
        <v>76</v>
      </c>
      <c r="C25" s="60">
        <v>0.28399999999999997</v>
      </c>
      <c r="D25" s="61">
        <f>C25/$C$48</f>
        <v>3.8245969552001435E-2</v>
      </c>
      <c r="E25" s="62" t="s">
        <v>77</v>
      </c>
      <c r="F25" s="60">
        <f>(6.25+6.25+9.37+3.12+3.12+34.37)/6</f>
        <v>10.413333333333332</v>
      </c>
      <c r="G25" s="61">
        <f>F25/$F$48</f>
        <v>2.7092624862542214E-2</v>
      </c>
      <c r="H25" s="63" t="s">
        <v>78</v>
      </c>
      <c r="I25" s="60">
        <f>(0.214+0.213)/2</f>
        <v>0.2135</v>
      </c>
      <c r="J25" s="61">
        <f>I25/$I$48</f>
        <v>3.86950611690077E-2</v>
      </c>
      <c r="K25" s="63"/>
      <c r="L25" s="60"/>
      <c r="M25" s="61"/>
    </row>
    <row r="26" spans="2:13" ht="21" x14ac:dyDescent="0.25">
      <c r="B26" s="115" t="s">
        <v>79</v>
      </c>
      <c r="C26" s="60">
        <v>0.217</v>
      </c>
      <c r="D26" s="61">
        <f>C26/$C$48</f>
        <v>2.9223152791494057E-2</v>
      </c>
      <c r="E26" s="62" t="s">
        <v>80</v>
      </c>
      <c r="F26" s="60">
        <f>(22.91+27.08+56.25+11.11)/4</f>
        <v>29.337499999999999</v>
      </c>
      <c r="G26" s="61">
        <f>F26/$F$48</f>
        <v>7.6328093652832801E-2</v>
      </c>
      <c r="H26" s="63" t="s">
        <v>81</v>
      </c>
      <c r="I26" s="60">
        <v>0.21199999999999999</v>
      </c>
      <c r="J26" s="61">
        <f>I26/$I$48</f>
        <v>3.8423198912550971E-2</v>
      </c>
      <c r="K26" s="63"/>
      <c r="L26" s="60"/>
      <c r="M26" s="61"/>
    </row>
    <row r="27" spans="2:13" x14ac:dyDescent="0.25">
      <c r="E27" s="28"/>
      <c r="H27" s="99"/>
    </row>
    <row r="28" spans="2:13" ht="21" x14ac:dyDescent="0.25">
      <c r="B28" s="117" t="s">
        <v>82</v>
      </c>
      <c r="C28" s="16">
        <v>0.26500000000000001</v>
      </c>
      <c r="D28" s="17">
        <f>C28/$C$48</f>
        <v>3.5687260321409793E-2</v>
      </c>
      <c r="E28" s="18" t="s">
        <v>83</v>
      </c>
      <c r="F28" s="16">
        <v>35.22</v>
      </c>
      <c r="G28" s="17">
        <f>F28/$F$48</f>
        <v>9.1632738251479204E-2</v>
      </c>
      <c r="H28" s="118" t="s">
        <v>84</v>
      </c>
      <c r="I28" s="16">
        <v>0.72</v>
      </c>
      <c r="J28" s="17">
        <f>I28/$I$48</f>
        <v>0.13049388309922971</v>
      </c>
      <c r="K28" s="118" t="s">
        <v>85</v>
      </c>
      <c r="L28" s="16">
        <v>0.79600000000000004</v>
      </c>
      <c r="M28" s="17">
        <f>L28/$L$48</f>
        <v>8.5042735042735046E-2</v>
      </c>
    </row>
    <row r="29" spans="2:13" ht="52.5" x14ac:dyDescent="0.25">
      <c r="B29" s="117" t="s">
        <v>86</v>
      </c>
      <c r="C29" s="16">
        <f>0.735+0.814</f>
        <v>1.5489999999999999</v>
      </c>
      <c r="D29" s="17">
        <f>C29/$C$48</f>
        <v>0.2086021367466557</v>
      </c>
      <c r="E29" s="18" t="s">
        <v>87</v>
      </c>
      <c r="F29" s="16">
        <f>(35.25+33.33+29.41+25.49+1.96+1.96+167)/7</f>
        <v>42.057142857142857</v>
      </c>
      <c r="G29" s="17">
        <f>F29/$F$48</f>
        <v>0.10942110059720726</v>
      </c>
      <c r="H29" s="118" t="s">
        <v>88</v>
      </c>
      <c r="I29" s="16">
        <f>(0.316+0.315+0.302)/3</f>
        <v>0.311</v>
      </c>
      <c r="J29" s="17">
        <f>I29/$I$48</f>
        <v>5.6366107838695063E-2</v>
      </c>
      <c r="K29" s="118" t="s">
        <v>89</v>
      </c>
      <c r="L29" s="16">
        <v>0.58799999999999997</v>
      </c>
      <c r="M29" s="17">
        <f>L29/$L$48</f>
        <v>6.2820512820512819E-2</v>
      </c>
    </row>
    <row r="30" spans="2:13" x14ac:dyDescent="0.25">
      <c r="E30" s="28"/>
      <c r="H30" s="99"/>
      <c r="I30" s="27"/>
      <c r="J30" s="6"/>
    </row>
    <row r="31" spans="2:13" ht="42" x14ac:dyDescent="0.25">
      <c r="B31" s="119" t="s">
        <v>90</v>
      </c>
      <c r="C31" s="120">
        <v>0.47899999999999998</v>
      </c>
      <c r="D31" s="121">
        <f>C31/$C$48</f>
        <v>6.450640639228411E-2</v>
      </c>
      <c r="E31" s="122" t="s">
        <v>91</v>
      </c>
      <c r="F31" s="120">
        <f>(5.88+68+52+40+16+23.52+3.92)/7</f>
        <v>29.90285714285714</v>
      </c>
      <c r="G31" s="121">
        <f>F31/$F$48</f>
        <v>7.7798997204508905E-2</v>
      </c>
      <c r="H31" s="123" t="s">
        <v>92</v>
      </c>
      <c r="I31" s="120">
        <v>0.42299999999999999</v>
      </c>
      <c r="J31" s="121">
        <f>I31/$I$48</f>
        <v>7.6665156320797456E-2</v>
      </c>
      <c r="K31" s="123" t="s">
        <v>93</v>
      </c>
      <c r="L31" s="120">
        <f>(0.752+0.752)/2</f>
        <v>0.752</v>
      </c>
      <c r="M31" s="121">
        <f>L31/$L$48</f>
        <v>8.0341880341880348E-2</v>
      </c>
    </row>
    <row r="32" spans="2:13" x14ac:dyDescent="0.25">
      <c r="E32" s="28"/>
      <c r="M32" s="10">
        <f>L32/$L$48</f>
        <v>0</v>
      </c>
    </row>
    <row r="34" spans="2:13" ht="31.5" x14ac:dyDescent="0.25">
      <c r="B34" s="124" t="s">
        <v>94</v>
      </c>
      <c r="C34" s="125">
        <f>(0.209+0.522+0.364+0.114+0.396+0.319+0.283)/7</f>
        <v>0.31528571428571428</v>
      </c>
      <c r="D34" s="126">
        <f>C34/$C$48</f>
        <v>4.2459182495607227E-2</v>
      </c>
      <c r="E34" s="127" t="s">
        <v>95</v>
      </c>
      <c r="F34" s="125">
        <f>(17.84+11.11+11.11)/3</f>
        <v>13.353333333333333</v>
      </c>
      <c r="G34" s="126">
        <f>F34/$F$48</f>
        <v>3.4741695006192098E-2</v>
      </c>
      <c r="H34" s="128" t="s">
        <v>96</v>
      </c>
      <c r="I34" s="125">
        <v>0.4</v>
      </c>
      <c r="J34" s="126">
        <f>I34/$I$48</f>
        <v>7.2496601721794299E-2</v>
      </c>
      <c r="K34" s="128"/>
      <c r="L34" s="125"/>
      <c r="M34" s="126"/>
    </row>
    <row r="35" spans="2:13" x14ac:dyDescent="0.25">
      <c r="B35" s="124" t="s">
        <v>97</v>
      </c>
      <c r="C35" s="125"/>
      <c r="D35" s="126"/>
      <c r="E35" s="127"/>
      <c r="F35" s="125"/>
      <c r="G35" s="126"/>
      <c r="H35" s="128"/>
      <c r="I35" s="125"/>
      <c r="J35" s="126"/>
      <c r="K35" s="128" t="s">
        <v>98</v>
      </c>
      <c r="L35" s="125">
        <v>0.75700000000000001</v>
      </c>
      <c r="M35" s="126">
        <f>L35/$L$48</f>
        <v>8.087606837606838E-2</v>
      </c>
    </row>
    <row r="36" spans="2:13" x14ac:dyDescent="0.25">
      <c r="B36" s="124" t="s">
        <v>99</v>
      </c>
      <c r="C36" s="125"/>
      <c r="D36" s="126"/>
      <c r="E36" s="127"/>
      <c r="F36" s="125"/>
      <c r="G36" s="126"/>
      <c r="H36" s="128"/>
      <c r="I36" s="125"/>
      <c r="J36" s="126"/>
      <c r="K36" s="128"/>
      <c r="L36" s="125"/>
      <c r="M36" s="126"/>
    </row>
    <row r="37" spans="2:13" x14ac:dyDescent="0.25">
      <c r="B37" s="124" t="s">
        <v>100</v>
      </c>
      <c r="C37" s="125"/>
      <c r="D37" s="126"/>
      <c r="E37" s="127"/>
      <c r="F37" s="125"/>
      <c r="G37" s="126"/>
      <c r="H37" s="128"/>
      <c r="I37" s="125"/>
      <c r="J37" s="126"/>
      <c r="K37" s="128"/>
      <c r="L37" s="125"/>
      <c r="M37" s="126"/>
    </row>
    <row r="38" spans="2:13" ht="20" x14ac:dyDescent="0.25">
      <c r="B38" s="124" t="s">
        <v>101</v>
      </c>
      <c r="C38" s="125"/>
      <c r="D38" s="126"/>
      <c r="E38" s="127"/>
      <c r="F38" s="125"/>
      <c r="G38" s="126"/>
      <c r="H38" s="128"/>
      <c r="I38" s="125"/>
      <c r="J38" s="126"/>
      <c r="K38" s="128"/>
      <c r="L38" s="125"/>
      <c r="M38" s="126"/>
    </row>
    <row r="39" spans="2:13" x14ac:dyDescent="0.25">
      <c r="B39" s="124" t="s">
        <v>102</v>
      </c>
      <c r="C39" s="125"/>
      <c r="D39" s="126"/>
      <c r="E39" s="127"/>
      <c r="F39" s="125"/>
      <c r="G39" s="126"/>
      <c r="H39" s="128"/>
      <c r="I39" s="125"/>
      <c r="J39" s="126"/>
      <c r="K39" s="128"/>
      <c r="L39" s="125"/>
      <c r="M39" s="126"/>
    </row>
    <row r="40" spans="2:13" x14ac:dyDescent="0.25">
      <c r="B40" s="124" t="s">
        <v>103</v>
      </c>
      <c r="C40" s="125"/>
      <c r="D40" s="126"/>
      <c r="E40" s="127"/>
      <c r="F40" s="125"/>
      <c r="G40" s="126"/>
      <c r="H40" s="128"/>
      <c r="I40" s="125"/>
      <c r="J40" s="126"/>
      <c r="K40" s="128"/>
      <c r="L40" s="125"/>
      <c r="M40" s="126"/>
    </row>
    <row r="42" spans="2:13" ht="21" x14ac:dyDescent="0.25">
      <c r="B42" s="129" t="s">
        <v>104</v>
      </c>
      <c r="C42" s="20">
        <v>0.312</v>
      </c>
      <c r="D42" s="21">
        <f>C42/$C$48</f>
        <v>4.2016698944452285E-2</v>
      </c>
      <c r="E42" s="22" t="s">
        <v>105</v>
      </c>
      <c r="F42" s="20">
        <f>(21.58+11.11)/2</f>
        <v>16.344999999999999</v>
      </c>
      <c r="G42" s="21">
        <f>F42/$F$48</f>
        <v>4.2525187584339229E-2</v>
      </c>
      <c r="H42" s="130" t="s">
        <v>106</v>
      </c>
      <c r="I42" s="20">
        <v>0.45900000000000002</v>
      </c>
      <c r="J42" s="21">
        <f>I42/$I$48</f>
        <v>8.3189850475758956E-2</v>
      </c>
      <c r="K42" s="130" t="s">
        <v>107</v>
      </c>
      <c r="L42" s="20">
        <v>0.76</v>
      </c>
      <c r="M42" s="21">
        <f>L42/$L$48</f>
        <v>8.11965811965812E-2</v>
      </c>
    </row>
    <row r="43" spans="2:13" x14ac:dyDescent="0.25">
      <c r="B43" s="129" t="s">
        <v>108</v>
      </c>
      <c r="C43" s="20">
        <v>0.14799999999999999</v>
      </c>
      <c r="D43" s="21">
        <f>C43/$C$48</f>
        <v>1.9930998217240186E-2</v>
      </c>
      <c r="E43" s="28"/>
    </row>
    <row r="48" spans="2:13" s="131" customFormat="1" ht="39.75" customHeight="1" x14ac:dyDescent="0.35">
      <c r="B48" s="131" t="s">
        <v>109</v>
      </c>
      <c r="C48" s="131">
        <f>SUM(C5:C46)</f>
        <v>7.4256190476190476</v>
      </c>
      <c r="D48" s="132">
        <f>SUM(D5:D46)</f>
        <v>0.99999999999999989</v>
      </c>
      <c r="E48" s="133"/>
      <c r="F48" s="131">
        <f>SUM(F5:F46)</f>
        <v>384.36044444444451</v>
      </c>
      <c r="G48" s="132">
        <f>SUM(G5:G46)</f>
        <v>0.99999999999999978</v>
      </c>
      <c r="H48" s="133"/>
      <c r="I48" s="131">
        <f>SUM(I5:I46)</f>
        <v>5.5175000000000001</v>
      </c>
      <c r="J48" s="132">
        <f>SUM(J5:J46)</f>
        <v>1</v>
      </c>
      <c r="K48" s="133"/>
      <c r="L48" s="131">
        <f>SUM(L5:L46)</f>
        <v>9.36</v>
      </c>
      <c r="M48" s="132">
        <f>SUM(M5:M46)</f>
        <v>1.0000000000000002</v>
      </c>
    </row>
  </sheetData>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C2026-2370-4ED5-B2EA-A3B49640DDA2}">
  <dimension ref="B1:K30"/>
  <sheetViews>
    <sheetView tabSelected="1" topLeftCell="E1" workbookViewId="0">
      <selection activeCell="F7" sqref="F7"/>
    </sheetView>
  </sheetViews>
  <sheetFormatPr defaultColWidth="9" defaultRowHeight="10.5" x14ac:dyDescent="0.25"/>
  <cols>
    <col min="1" max="1" width="9" style="8"/>
    <col min="2" max="2" width="33" style="8" customWidth="1"/>
    <col min="3" max="3" width="8" style="8" customWidth="1"/>
    <col min="4" max="4" width="20.453125" style="8" customWidth="1"/>
    <col min="5" max="5" width="36.36328125" style="8" bestFit="1" customWidth="1"/>
    <col min="6" max="6" width="14.08984375" style="8" customWidth="1"/>
    <col min="7" max="7" width="16.7265625" style="8" customWidth="1"/>
    <col min="8" max="8" width="37.7265625" style="9" customWidth="1"/>
    <col min="9" max="9" width="13.90625" style="9" customWidth="1"/>
    <col min="10" max="10" width="12.6328125" style="10" customWidth="1"/>
    <col min="11" max="16384" width="9" style="8"/>
  </cols>
  <sheetData>
    <row r="1" spans="2:11" x14ac:dyDescent="0.25">
      <c r="B1" s="7" t="s">
        <v>110</v>
      </c>
    </row>
    <row r="2" spans="2:11" x14ac:dyDescent="0.25">
      <c r="B2" s="7"/>
    </row>
    <row r="3" spans="2:11" s="140" customFormat="1" x14ac:dyDescent="0.25">
      <c r="B3" s="138"/>
      <c r="C3" s="139" t="s">
        <v>142</v>
      </c>
      <c r="D3" s="139" t="s">
        <v>141</v>
      </c>
      <c r="F3" s="139" t="s">
        <v>142</v>
      </c>
      <c r="G3" s="139" t="s">
        <v>141</v>
      </c>
      <c r="H3" s="141"/>
      <c r="I3" s="139" t="s">
        <v>142</v>
      </c>
      <c r="J3" s="139" t="s">
        <v>141</v>
      </c>
    </row>
    <row r="4" spans="2:11" x14ac:dyDescent="0.25">
      <c r="B4" s="11" t="s">
        <v>111</v>
      </c>
      <c r="E4" s="12" t="s">
        <v>112</v>
      </c>
      <c r="F4" s="9"/>
      <c r="H4" s="13" t="s">
        <v>113</v>
      </c>
    </row>
    <row r="5" spans="2:11" x14ac:dyDescent="0.25">
      <c r="B5" s="134" t="s">
        <v>36</v>
      </c>
      <c r="E5" s="134" t="s">
        <v>36</v>
      </c>
      <c r="F5" s="9"/>
      <c r="H5" s="134" t="s">
        <v>114</v>
      </c>
    </row>
    <row r="6" spans="2:11" ht="31.5" x14ac:dyDescent="0.25">
      <c r="B6" s="134"/>
      <c r="C6" s="8" t="s">
        <v>34</v>
      </c>
      <c r="D6" s="14" t="s">
        <v>115</v>
      </c>
      <c r="E6" s="134"/>
      <c r="F6" s="9"/>
      <c r="G6" s="14" t="s">
        <v>115</v>
      </c>
      <c r="H6" s="134"/>
      <c r="J6" s="14" t="s">
        <v>115</v>
      </c>
      <c r="K6" s="9"/>
    </row>
    <row r="7" spans="2:11" ht="31.5" x14ac:dyDescent="0.25">
      <c r="B7" s="15" t="s">
        <v>116</v>
      </c>
      <c r="C7" s="16">
        <v>0.56999999999999995</v>
      </c>
      <c r="D7" s="17">
        <f>C7/$C$30</f>
        <v>0.15227070347284061</v>
      </c>
      <c r="E7" s="18" t="s">
        <v>117</v>
      </c>
      <c r="F7" s="16">
        <f>(82+77+63)/3</f>
        <v>74</v>
      </c>
      <c r="G7" s="17">
        <f>F7/$F$30</f>
        <v>0.14262769033087055</v>
      </c>
      <c r="H7" s="18" t="s">
        <v>118</v>
      </c>
      <c r="I7" s="17">
        <v>0.16</v>
      </c>
      <c r="J7" s="17">
        <v>0.16</v>
      </c>
      <c r="K7" s="10"/>
    </row>
    <row r="8" spans="2:11" x14ac:dyDescent="0.25">
      <c r="I8" s="10"/>
    </row>
    <row r="9" spans="2:11" ht="21" x14ac:dyDescent="0.25">
      <c r="B9" s="19" t="s">
        <v>119</v>
      </c>
      <c r="C9" s="20">
        <v>0.36699999999999999</v>
      </c>
      <c r="D9" s="21">
        <f>C9/$C$30</f>
        <v>9.8040961709706151E-2</v>
      </c>
      <c r="E9" s="20" t="s">
        <v>120</v>
      </c>
      <c r="F9" s="20">
        <v>63</v>
      </c>
      <c r="G9" s="21">
        <f>F9/$F$30</f>
        <v>0.12142627690330872</v>
      </c>
      <c r="H9" s="22" t="s">
        <v>121</v>
      </c>
      <c r="I9" s="10">
        <v>0.16</v>
      </c>
      <c r="J9" s="10">
        <v>0.16</v>
      </c>
      <c r="K9" s="10"/>
    </row>
    <row r="10" spans="2:11" x14ac:dyDescent="0.25">
      <c r="I10" s="10"/>
    </row>
    <row r="11" spans="2:11" x14ac:dyDescent="0.25">
      <c r="B11" s="23" t="s">
        <v>122</v>
      </c>
      <c r="C11" s="24">
        <v>0.32700000000000001</v>
      </c>
      <c r="D11" s="25">
        <f>C11/$C$30</f>
        <v>8.7355298308103305E-2</v>
      </c>
      <c r="E11" s="24" t="s">
        <v>123</v>
      </c>
      <c r="F11" s="24">
        <v>73</v>
      </c>
      <c r="G11" s="25">
        <f>F11/$F$30</f>
        <v>0.14070028911018312</v>
      </c>
      <c r="H11" s="26" t="s">
        <v>124</v>
      </c>
      <c r="I11" s="10">
        <v>0.08</v>
      </c>
      <c r="J11" s="10">
        <v>0.08</v>
      </c>
      <c r="K11" s="10"/>
    </row>
    <row r="12" spans="2:11" s="27" customFormat="1" x14ac:dyDescent="0.25">
      <c r="I12" s="6"/>
      <c r="J12" s="6"/>
    </row>
    <row r="13" spans="2:11" s="27" customFormat="1" x14ac:dyDescent="0.25">
      <c r="H13" s="28"/>
      <c r="I13" s="6"/>
      <c r="J13" s="6"/>
    </row>
    <row r="14" spans="2:11" ht="20" x14ac:dyDescent="0.25">
      <c r="B14" s="29" t="s">
        <v>125</v>
      </c>
      <c r="C14" s="30">
        <f>(0.374+0.303+0.323)/3</f>
        <v>0.33333333333333331</v>
      </c>
      <c r="D14" s="31">
        <f>C14/$C$30</f>
        <v>8.9047195013357075E-2</v>
      </c>
      <c r="E14" s="32" t="s">
        <v>126</v>
      </c>
      <c r="F14" s="32">
        <v>93</v>
      </c>
      <c r="G14" s="31">
        <f>F14/$F$30</f>
        <v>0.17924831352393192</v>
      </c>
      <c r="H14" s="33" t="s">
        <v>127</v>
      </c>
      <c r="I14" s="31">
        <v>0.09</v>
      </c>
      <c r="J14" s="31">
        <v>0.09</v>
      </c>
      <c r="K14" s="10"/>
    </row>
    <row r="15" spans="2:11" x14ac:dyDescent="0.25">
      <c r="I15" s="10"/>
    </row>
    <row r="16" spans="2:11" ht="52.5" x14ac:dyDescent="0.25">
      <c r="B16" s="34" t="s">
        <v>128</v>
      </c>
      <c r="C16" s="20">
        <v>0.54</v>
      </c>
      <c r="D16" s="21">
        <f>C16/$C$30</f>
        <v>0.14425645592163849</v>
      </c>
      <c r="E16" s="22" t="s">
        <v>129</v>
      </c>
      <c r="F16" s="20">
        <f>(53+67+63+37+20+70+80+60+57)/9</f>
        <v>56.333333333333336</v>
      </c>
      <c r="G16" s="21">
        <f>F16/$F$30</f>
        <v>0.10857693543205912</v>
      </c>
      <c r="H16" s="22" t="s">
        <v>130</v>
      </c>
      <c r="I16" s="21">
        <v>0.23</v>
      </c>
      <c r="J16" s="21">
        <v>0.23</v>
      </c>
      <c r="K16" s="10"/>
    </row>
    <row r="17" spans="2:11" s="27" customFormat="1" x14ac:dyDescent="0.25">
      <c r="I17" s="6"/>
      <c r="J17" s="6"/>
    </row>
    <row r="18" spans="2:11" x14ac:dyDescent="0.25">
      <c r="I18" s="10"/>
    </row>
    <row r="19" spans="2:11" x14ac:dyDescent="0.25">
      <c r="B19" s="35" t="s">
        <v>131</v>
      </c>
      <c r="C19" s="36">
        <v>0.30599999999999999</v>
      </c>
      <c r="D19" s="37">
        <f>C19/$C$30</f>
        <v>8.1745325022261797E-2</v>
      </c>
      <c r="E19" s="36"/>
      <c r="F19" s="36"/>
      <c r="G19" s="36"/>
      <c r="H19" s="20" t="s">
        <v>132</v>
      </c>
      <c r="I19" s="21">
        <v>0.08</v>
      </c>
      <c r="J19" s="21">
        <v>0.08</v>
      </c>
    </row>
    <row r="20" spans="2:11" x14ac:dyDescent="0.25">
      <c r="I20" s="10"/>
    </row>
    <row r="21" spans="2:11" x14ac:dyDescent="0.25">
      <c r="B21" s="38" t="s">
        <v>133</v>
      </c>
      <c r="C21" s="39">
        <v>0.57699999999999996</v>
      </c>
      <c r="D21" s="40">
        <f>C21/$C$30</f>
        <v>0.1541406945681211</v>
      </c>
      <c r="E21" s="39" t="s">
        <v>134</v>
      </c>
      <c r="F21" s="39">
        <f>(93+70)/2</f>
        <v>81.5</v>
      </c>
      <c r="G21" s="40">
        <f>F21/$F$30</f>
        <v>0.15708319948602636</v>
      </c>
      <c r="H21" s="41" t="s">
        <v>135</v>
      </c>
      <c r="I21" s="40">
        <v>0.03</v>
      </c>
      <c r="J21" s="40">
        <v>0.03</v>
      </c>
      <c r="K21" s="10"/>
    </row>
    <row r="22" spans="2:11" x14ac:dyDescent="0.25">
      <c r="B22" s="39"/>
      <c r="C22" s="39"/>
      <c r="D22" s="39"/>
      <c r="E22" s="39" t="s">
        <v>136</v>
      </c>
      <c r="F22" s="39"/>
      <c r="G22" s="39"/>
      <c r="H22" s="39"/>
      <c r="I22" s="40"/>
      <c r="J22" s="40"/>
    </row>
    <row r="23" spans="2:11" x14ac:dyDescent="0.25">
      <c r="B23" s="39"/>
      <c r="C23" s="39"/>
      <c r="D23" s="39"/>
      <c r="E23" s="39"/>
      <c r="F23" s="39"/>
      <c r="G23" s="39"/>
      <c r="H23" s="39" t="s">
        <v>137</v>
      </c>
      <c r="I23" s="40">
        <v>0.04</v>
      </c>
      <c r="J23" s="40">
        <v>0.04</v>
      </c>
    </row>
    <row r="24" spans="2:11" x14ac:dyDescent="0.25">
      <c r="I24" s="10"/>
    </row>
    <row r="25" spans="2:11" x14ac:dyDescent="0.25">
      <c r="I25" s="10"/>
    </row>
    <row r="26" spans="2:11" ht="21" x14ac:dyDescent="0.25">
      <c r="B26" s="42" t="s">
        <v>138</v>
      </c>
      <c r="C26" s="43">
        <v>0.72299999999999998</v>
      </c>
      <c r="D26" s="44">
        <f>C26/$C$30</f>
        <v>0.1931433659839715</v>
      </c>
      <c r="E26" s="45" t="s">
        <v>139</v>
      </c>
      <c r="F26" s="45">
        <v>78</v>
      </c>
      <c r="G26" s="44">
        <f>F26/$F$30</f>
        <v>0.15033729521362033</v>
      </c>
      <c r="H26" s="26" t="s">
        <v>140</v>
      </c>
      <c r="I26" s="25">
        <v>0.13</v>
      </c>
      <c r="J26" s="25">
        <v>0.13</v>
      </c>
      <c r="K26" s="10"/>
    </row>
    <row r="30" spans="2:11" x14ac:dyDescent="0.25">
      <c r="C30" s="8">
        <f>SUM(C7:C29)</f>
        <v>3.7433333333333332</v>
      </c>
      <c r="D30" s="10">
        <f>SUM(D7:D26)</f>
        <v>1</v>
      </c>
      <c r="F30" s="8">
        <f>SUM(F7:F29)</f>
        <v>518.83333333333326</v>
      </c>
      <c r="G30" s="10">
        <f>SUM(G7:G26)</f>
        <v>1.0000000000000002</v>
      </c>
      <c r="H30" s="46"/>
      <c r="I30" s="46"/>
      <c r="J30" s="10">
        <f>SUM(J7:J26)</f>
        <v>1</v>
      </c>
      <c r="K30" s="47"/>
    </row>
  </sheetData>
  <mergeCells count="3">
    <mergeCell ref="B5:B6"/>
    <mergeCell ref="E5:E6"/>
    <mergeCell ref="H5: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F238-9EF1-4EEC-AA09-66014E54C4CC}">
  <dimension ref="B2:S8"/>
  <sheetViews>
    <sheetView zoomScale="81" workbookViewId="0">
      <selection activeCell="G12" sqref="G12"/>
    </sheetView>
  </sheetViews>
  <sheetFormatPr defaultRowHeight="14.5" x14ac:dyDescent="0.35"/>
  <cols>
    <col min="3" max="3" width="12" customWidth="1"/>
    <col min="4" max="4" width="10.7265625" customWidth="1"/>
    <col min="5" max="5" width="10.54296875" customWidth="1"/>
    <col min="6" max="6" width="10.90625" customWidth="1"/>
    <col min="7" max="7" width="10.54296875" customWidth="1"/>
    <col min="8" max="8" width="11.81640625" customWidth="1"/>
    <col min="13" max="13" width="9.7265625" customWidth="1"/>
    <col min="14" max="14" width="16.36328125" customWidth="1"/>
    <col min="19" max="19" width="17.1796875" customWidth="1"/>
  </cols>
  <sheetData>
    <row r="2" spans="2:19" ht="23.5" x14ac:dyDescent="0.55000000000000004">
      <c r="B2" s="135" t="s">
        <v>26</v>
      </c>
      <c r="C2" s="135"/>
      <c r="D2" s="135"/>
      <c r="E2" s="135"/>
      <c r="F2" s="135"/>
      <c r="G2" s="135"/>
      <c r="H2" s="135"/>
      <c r="I2" s="135"/>
      <c r="J2" s="135"/>
      <c r="K2" s="135"/>
      <c r="L2" s="135"/>
      <c r="M2" s="135"/>
      <c r="N2" s="135"/>
      <c r="O2" s="135"/>
      <c r="P2" s="135"/>
      <c r="Q2" s="135"/>
      <c r="R2" s="135"/>
    </row>
    <row r="3" spans="2:19" x14ac:dyDescent="0.35">
      <c r="B3" s="136" t="s">
        <v>0</v>
      </c>
      <c r="C3" s="136"/>
      <c r="D3" s="136"/>
      <c r="E3" s="136"/>
      <c r="F3" s="136"/>
      <c r="G3" s="136"/>
      <c r="H3" s="136"/>
      <c r="I3" s="136"/>
      <c r="J3" s="136"/>
      <c r="K3" s="136"/>
      <c r="L3" s="136"/>
      <c r="M3" s="136"/>
      <c r="N3" s="136"/>
      <c r="O3" s="136"/>
      <c r="P3" s="136"/>
      <c r="Q3" s="136"/>
      <c r="R3" s="136"/>
    </row>
    <row r="4" spans="2:19" ht="58" x14ac:dyDescent="0.35">
      <c r="B4" s="136"/>
      <c r="C4" s="2" t="s">
        <v>1</v>
      </c>
      <c r="D4" s="2" t="s">
        <v>2</v>
      </c>
      <c r="E4" s="2" t="s">
        <v>3</v>
      </c>
      <c r="F4" s="2" t="s">
        <v>4</v>
      </c>
      <c r="G4" s="2" t="s">
        <v>5</v>
      </c>
      <c r="H4" s="2" t="s">
        <v>6</v>
      </c>
      <c r="I4" s="2" t="s">
        <v>7</v>
      </c>
      <c r="J4" s="2" t="s">
        <v>8</v>
      </c>
      <c r="K4" s="2" t="s">
        <v>9</v>
      </c>
      <c r="L4" s="2" t="s">
        <v>10</v>
      </c>
      <c r="M4" s="2" t="s">
        <v>11</v>
      </c>
      <c r="N4" s="2" t="s">
        <v>12</v>
      </c>
      <c r="O4" s="2" t="s">
        <v>13</v>
      </c>
      <c r="P4" s="2" t="s">
        <v>14</v>
      </c>
      <c r="Q4" s="2" t="s">
        <v>15</v>
      </c>
      <c r="R4" s="2" t="s">
        <v>16</v>
      </c>
      <c r="S4" s="5" t="s">
        <v>25</v>
      </c>
    </row>
    <row r="5" spans="2:19" x14ac:dyDescent="0.35">
      <c r="B5" s="3">
        <v>2016</v>
      </c>
      <c r="C5" s="4">
        <v>4.49</v>
      </c>
      <c r="D5" s="4">
        <v>4.3499999999999996</v>
      </c>
      <c r="E5" s="4">
        <v>1.23</v>
      </c>
      <c r="F5" s="4">
        <v>3.42</v>
      </c>
      <c r="G5" s="4">
        <v>2.4900000000000002</v>
      </c>
      <c r="H5" s="4">
        <v>4.6500000000000004</v>
      </c>
      <c r="I5" s="4">
        <v>4.34</v>
      </c>
      <c r="J5" s="4">
        <v>3.04</v>
      </c>
      <c r="K5" s="4">
        <v>3.74</v>
      </c>
      <c r="L5" s="4">
        <v>2.95</v>
      </c>
      <c r="M5" s="4">
        <v>10.52</v>
      </c>
      <c r="N5" s="4">
        <v>13.46</v>
      </c>
      <c r="O5" s="4">
        <v>24.43</v>
      </c>
      <c r="P5" s="4">
        <v>6.45</v>
      </c>
      <c r="Q5" s="4">
        <v>4.25</v>
      </c>
      <c r="R5" s="4">
        <v>6.19</v>
      </c>
      <c r="S5" s="4">
        <f>SUM(C5:R5)</f>
        <v>100</v>
      </c>
    </row>
    <row r="6" spans="2:19" x14ac:dyDescent="0.35">
      <c r="B6" s="3">
        <v>2019</v>
      </c>
      <c r="C6" s="4">
        <v>15.61</v>
      </c>
      <c r="D6" s="4">
        <v>3.36</v>
      </c>
      <c r="E6" s="4">
        <v>10.6</v>
      </c>
      <c r="F6" s="4">
        <v>4.34</v>
      </c>
      <c r="G6" s="4">
        <v>4.12</v>
      </c>
      <c r="H6" s="4">
        <v>0.01</v>
      </c>
      <c r="I6" s="4">
        <v>0.01</v>
      </c>
      <c r="J6" s="4">
        <v>8.89</v>
      </c>
      <c r="K6" s="4">
        <v>0.01</v>
      </c>
      <c r="L6" s="4">
        <v>2.66</v>
      </c>
      <c r="M6" s="4">
        <v>2.67</v>
      </c>
      <c r="N6" s="4">
        <v>12.15</v>
      </c>
      <c r="O6" s="4">
        <v>20.100000000000001</v>
      </c>
      <c r="P6" s="4">
        <v>7.77</v>
      </c>
      <c r="Q6" s="4">
        <v>3.46</v>
      </c>
      <c r="R6" s="4">
        <v>4.24</v>
      </c>
      <c r="S6" s="4">
        <f t="shared" ref="S6:S8" si="0">SUM(C6:R6)</f>
        <v>99.999999999999986</v>
      </c>
    </row>
    <row r="7" spans="2:19" x14ac:dyDescent="0.35">
      <c r="B7" s="3">
        <v>2021</v>
      </c>
      <c r="C7" s="4">
        <v>3.9</v>
      </c>
      <c r="D7" s="4">
        <v>6.92</v>
      </c>
      <c r="E7" s="4">
        <v>7</v>
      </c>
      <c r="F7" s="4">
        <v>0.01</v>
      </c>
      <c r="G7" s="4">
        <v>0.01</v>
      </c>
      <c r="H7" s="4">
        <v>7.99</v>
      </c>
      <c r="I7" s="4">
        <v>7.99</v>
      </c>
      <c r="J7" s="4">
        <v>0.01</v>
      </c>
      <c r="K7" s="4">
        <v>0.01</v>
      </c>
      <c r="L7" s="4">
        <v>3.66</v>
      </c>
      <c r="M7" s="4">
        <v>3.67</v>
      </c>
      <c r="N7" s="4">
        <v>16.940000000000001</v>
      </c>
      <c r="O7" s="4">
        <v>18.68</v>
      </c>
      <c r="P7" s="4">
        <v>7.66</v>
      </c>
      <c r="Q7" s="4">
        <v>7.24</v>
      </c>
      <c r="R7" s="4">
        <v>8.31</v>
      </c>
      <c r="S7" s="4">
        <f t="shared" si="0"/>
        <v>99.999999999999986</v>
      </c>
    </row>
    <row r="8" spans="2:19" x14ac:dyDescent="0.35">
      <c r="B8" s="3">
        <v>2023</v>
      </c>
      <c r="C8" s="4">
        <v>7.37</v>
      </c>
      <c r="D8" s="4">
        <v>7.15</v>
      </c>
      <c r="E8" s="4">
        <v>6.35</v>
      </c>
      <c r="F8" s="4">
        <v>7.09</v>
      </c>
      <c r="G8" s="4">
        <v>5.24</v>
      </c>
      <c r="H8" s="4">
        <v>6.95</v>
      </c>
      <c r="I8" s="4">
        <v>0.01</v>
      </c>
      <c r="J8" s="4">
        <v>6.01</v>
      </c>
      <c r="K8" s="4">
        <v>6.91</v>
      </c>
      <c r="L8" s="4">
        <v>3.95</v>
      </c>
      <c r="M8" s="4">
        <v>3.95</v>
      </c>
      <c r="N8" s="4">
        <v>0.01</v>
      </c>
      <c r="O8" s="4">
        <v>14.78</v>
      </c>
      <c r="P8" s="4">
        <v>8.0299999999999994</v>
      </c>
      <c r="Q8" s="4">
        <v>8.09</v>
      </c>
      <c r="R8" s="4">
        <v>8.11</v>
      </c>
      <c r="S8" s="4">
        <f t="shared" si="0"/>
        <v>100</v>
      </c>
    </row>
  </sheetData>
  <mergeCells count="3">
    <mergeCell ref="B2:R2"/>
    <mergeCell ref="B3:B4"/>
    <mergeCell ref="C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07CC-8824-4867-B4DF-C8664E9A0C23}">
  <dimension ref="B2:K7"/>
  <sheetViews>
    <sheetView zoomScale="94" workbookViewId="0">
      <selection activeCell="B3" sqref="B3:B4"/>
    </sheetView>
  </sheetViews>
  <sheetFormatPr defaultRowHeight="14.5" x14ac:dyDescent="0.35"/>
  <cols>
    <col min="3" max="3" width="9.54296875" customWidth="1"/>
    <col min="5" max="5" width="11.6328125" customWidth="1"/>
    <col min="8" max="8" width="13.1796875" customWidth="1"/>
    <col min="10" max="10" width="13.81640625" customWidth="1"/>
    <col min="11" max="11" width="15.08984375" customWidth="1"/>
  </cols>
  <sheetData>
    <row r="2" spans="2:11" x14ac:dyDescent="0.35">
      <c r="B2" s="137" t="s">
        <v>27</v>
      </c>
      <c r="C2" s="137"/>
      <c r="D2" s="137"/>
      <c r="E2" s="137"/>
      <c r="F2" s="137"/>
      <c r="G2" s="137"/>
      <c r="H2" s="137"/>
      <c r="I2" s="137"/>
      <c r="J2" s="137"/>
    </row>
    <row r="3" spans="2:11" x14ac:dyDescent="0.35">
      <c r="B3" s="136" t="s">
        <v>0</v>
      </c>
      <c r="C3" s="1"/>
      <c r="D3" s="1"/>
      <c r="E3" s="1"/>
      <c r="F3" s="1"/>
      <c r="G3" s="1"/>
      <c r="H3" s="1"/>
      <c r="I3" s="1"/>
      <c r="J3" s="1"/>
    </row>
    <row r="4" spans="2:11" ht="58" x14ac:dyDescent="0.35">
      <c r="B4" s="136"/>
      <c r="C4" s="2" t="s">
        <v>17</v>
      </c>
      <c r="D4" s="2" t="s">
        <v>18</v>
      </c>
      <c r="E4" s="2" t="s">
        <v>19</v>
      </c>
      <c r="F4" s="2" t="s">
        <v>20</v>
      </c>
      <c r="G4" s="2" t="s">
        <v>21</v>
      </c>
      <c r="H4" s="2" t="s">
        <v>22</v>
      </c>
      <c r="I4" s="2" t="s">
        <v>23</v>
      </c>
      <c r="J4" s="2" t="s">
        <v>24</v>
      </c>
      <c r="K4" s="5" t="s">
        <v>25</v>
      </c>
    </row>
    <row r="5" spans="2:11" x14ac:dyDescent="0.35">
      <c r="B5" s="3">
        <v>2015</v>
      </c>
      <c r="C5">
        <v>15.23</v>
      </c>
      <c r="D5" s="4">
        <v>9.8000000000000007</v>
      </c>
      <c r="E5" s="4">
        <v>8.74</v>
      </c>
      <c r="F5" s="4">
        <v>8.9</v>
      </c>
      <c r="G5" s="4">
        <v>14.43</v>
      </c>
      <c r="H5" s="4">
        <v>8.17</v>
      </c>
      <c r="I5" s="4">
        <v>15.41</v>
      </c>
      <c r="J5" s="4">
        <v>19.32</v>
      </c>
      <c r="K5" s="4">
        <f>SUM(C5:J5)</f>
        <v>100</v>
      </c>
    </row>
    <row r="6" spans="2:11" x14ac:dyDescent="0.35">
      <c r="B6" s="3">
        <v>2020</v>
      </c>
      <c r="C6" s="4">
        <v>14.26</v>
      </c>
      <c r="D6" s="4">
        <v>12.14</v>
      </c>
      <c r="E6" s="4">
        <v>14.07</v>
      </c>
      <c r="F6" s="4">
        <v>17.920000000000002</v>
      </c>
      <c r="G6" s="4">
        <v>10.86</v>
      </c>
      <c r="H6" s="4">
        <v>0.01</v>
      </c>
      <c r="I6" s="4">
        <v>15.71</v>
      </c>
      <c r="J6" s="4">
        <v>15.03</v>
      </c>
      <c r="K6" s="4">
        <f t="shared" ref="K6:K7" si="0">SUM(C6:J6)</f>
        <v>100</v>
      </c>
    </row>
    <row r="7" spans="2:11" x14ac:dyDescent="0.35">
      <c r="B7" s="3">
        <v>2024</v>
      </c>
      <c r="C7" s="4">
        <v>16</v>
      </c>
      <c r="D7" s="4">
        <v>16</v>
      </c>
      <c r="E7" s="4">
        <v>8</v>
      </c>
      <c r="F7" s="4">
        <v>9</v>
      </c>
      <c r="G7" s="4">
        <v>23</v>
      </c>
      <c r="H7" s="4">
        <v>8</v>
      </c>
      <c r="I7" s="4">
        <v>7</v>
      </c>
      <c r="J7" s="4">
        <v>13</v>
      </c>
      <c r="K7" s="4">
        <f t="shared" si="0"/>
        <v>100</v>
      </c>
    </row>
  </sheetData>
  <mergeCells count="2">
    <mergeCell ref="B2:J2"/>
    <mergeCell ref="B3:B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Arsitek yang Akan Diolah</vt:lpstr>
      <vt:lpstr>Data MEP yang Akan Diolah</vt:lpstr>
      <vt:lpstr>Arsitektur</vt:lpstr>
      <vt:lpstr>MEP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Benita Aryani Dewi</dc:creator>
  <cp:lastModifiedBy>Benita Aryani Dewi</cp:lastModifiedBy>
  <dcterms:created xsi:type="dcterms:W3CDTF">2024-10-27T01:51:01Z</dcterms:created>
  <dcterms:modified xsi:type="dcterms:W3CDTF">2024-10-27T12:19:29Z</dcterms:modified>
</cp:coreProperties>
</file>