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 activeTab="1"/>
  </bookViews>
  <sheets>
    <sheet name="Arsitektur" sheetId="1" r:id="rId1"/>
    <sheet name="MEP" sheetId="2" r:id="rId2"/>
    <sheet name="Data Arsitektur" sheetId="3" r:id="rId3"/>
    <sheet name="Data ME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<sst xmlns="http://schemas.openxmlformats.org/spreadsheetml/2006/main" count="56" uniqueCount="28">
  <si>
    <t>Bobot Kriteria Pemilihan Kontraktor Arsitektur (%)</t>
  </si>
  <si>
    <t>Tahun</t>
  </si>
  <si>
    <t>Kelengkapan dokumen penawaran</t>
  </si>
  <si>
    <t>Legalitas perusahaan</t>
  </si>
  <si>
    <t>Kemitraan perusahaan</t>
  </si>
  <si>
    <t>Perpajakan</t>
  </si>
  <si>
    <t>Neraca perusahaan</t>
  </si>
  <si>
    <t>Penguasaan terhadap proyek</t>
  </si>
  <si>
    <t>Analisis teknis</t>
  </si>
  <si>
    <t>Metode pelaksanaan</t>
  </si>
  <si>
    <t>Uraian spesifikasi teknis</t>
  </si>
  <si>
    <t>Jumlah peralatan sewa</t>
  </si>
  <si>
    <t>Jumlah peralatan milik sendiri</t>
  </si>
  <si>
    <t>Kelengkapan tenaga ahli, terampil, dan teknis</t>
  </si>
  <si>
    <t>Pengalaman sebelumnya</t>
  </si>
  <si>
    <t>Kepuasan klien</t>
  </si>
  <si>
    <t>Kesesuaian biaya</t>
  </si>
  <si>
    <t>Kesesuaian waktu</t>
  </si>
  <si>
    <t>Total bobot</t>
  </si>
  <si>
    <t>Bobot Kriteria Pemilihan Kontraktor MEP (%)</t>
  </si>
  <si>
    <t>Keuangan</t>
  </si>
  <si>
    <t>Kualitas</t>
  </si>
  <si>
    <t>Pengalaman</t>
  </si>
  <si>
    <t>Kelengkapan peralatan</t>
  </si>
  <si>
    <t>Legalitas</t>
  </si>
  <si>
    <t>Pemeliharaan</t>
  </si>
  <si>
    <t>Manajemen SDM</t>
  </si>
  <si>
    <t>Pemahaman K3 dan Lingkungan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</si>
</sst>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8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2" fillId="3" borderId="0" xfId="0" applyFont="1" applyFill="1"/>
    <xf numFmtId="2" fontId="0" fillId="0" borderId="0" xfId="0" applyNumberForma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wrapText="1"/>
    </xf>
    <xf numFmtId="0" fontId="3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S9"/>
  <sheetViews>
    <sheetView zoomScale="81" zoomScaleNormal="81" workbookViewId="0">
      <selection activeCell="S10" sqref="S10"/>
    </sheetView>
  </sheetViews>
  <sheetFormatPr defaultColWidth="9" defaultRowHeight="14"/>
  <cols>
    <col min="3" max="3" width="12" customWidth="1"/>
    <col min="4" max="4" width="10.7272727272727" customWidth="1"/>
    <col min="5" max="5" width="10.5454545454545" customWidth="1"/>
    <col min="6" max="6" width="10.9090909090909" customWidth="1"/>
    <col min="7" max="7" width="10.5454545454545" customWidth="1"/>
    <col min="8" max="8" width="11.8181818181818" customWidth="1"/>
    <col min="13" max="13" width="9.72727272727273" customWidth="1"/>
    <col min="14" max="14" width="16.3636363636364" customWidth="1"/>
    <col min="19" max="19" width="17.1818181818182" customWidth="1"/>
  </cols>
  <sheetData>
    <row r="2" ht="23" spans="2:18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2:18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ht="56" spans="2:19">
      <c r="B4" s="6"/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7" t="s">
        <v>18</v>
      </c>
    </row>
    <row r="5" spans="2:19">
      <c r="B5" s="3">
        <v>2016</v>
      </c>
      <c r="C5" s="4">
        <v>4.49</v>
      </c>
      <c r="D5" s="4">
        <v>4.35</v>
      </c>
      <c r="E5" s="4">
        <v>1.23</v>
      </c>
      <c r="F5" s="4">
        <v>3.42</v>
      </c>
      <c r="G5" s="4">
        <v>2.49</v>
      </c>
      <c r="H5" s="4">
        <v>4.65</v>
      </c>
      <c r="I5" s="4">
        <v>4.34</v>
      </c>
      <c r="J5" s="4">
        <v>3.04</v>
      </c>
      <c r="K5" s="4">
        <v>3.74</v>
      </c>
      <c r="L5" s="4">
        <v>2.95</v>
      </c>
      <c r="M5" s="4">
        <v>10.52</v>
      </c>
      <c r="N5" s="4">
        <v>13.46</v>
      </c>
      <c r="O5" s="4">
        <v>24.43</v>
      </c>
      <c r="P5" s="4">
        <v>6.45</v>
      </c>
      <c r="Q5" s="4">
        <v>4.25</v>
      </c>
      <c r="R5" s="4">
        <v>6.19</v>
      </c>
      <c r="S5" s="4">
        <f>SUM(C5:R5)</f>
        <v>100</v>
      </c>
    </row>
    <row r="6" spans="2:19">
      <c r="B6" s="3">
        <v>2019</v>
      </c>
      <c r="C6" s="4">
        <v>15.61</v>
      </c>
      <c r="D6" s="4">
        <v>3.36</v>
      </c>
      <c r="E6" s="4">
        <v>10.6</v>
      </c>
      <c r="F6" s="4">
        <v>4.34</v>
      </c>
      <c r="G6" s="4">
        <v>4.12</v>
      </c>
      <c r="H6" s="4">
        <v>0.01</v>
      </c>
      <c r="I6" s="4">
        <v>0.01</v>
      </c>
      <c r="J6" s="4">
        <v>8.89</v>
      </c>
      <c r="K6" s="4">
        <v>0.01</v>
      </c>
      <c r="L6" s="4">
        <v>2.66</v>
      </c>
      <c r="M6" s="4">
        <v>2.67</v>
      </c>
      <c r="N6" s="4">
        <v>12.15</v>
      </c>
      <c r="O6" s="4">
        <v>20.1</v>
      </c>
      <c r="P6" s="4">
        <v>7.77</v>
      </c>
      <c r="Q6" s="4">
        <v>3.46</v>
      </c>
      <c r="R6" s="4">
        <v>4.24</v>
      </c>
      <c r="S6" s="4">
        <f t="shared" ref="S6:S8" si="0">SUM(C6:R6)</f>
        <v>100</v>
      </c>
    </row>
    <row r="7" spans="2:19">
      <c r="B7" s="3">
        <v>2021</v>
      </c>
      <c r="C7" s="4">
        <v>3.9</v>
      </c>
      <c r="D7" s="4">
        <v>6.92</v>
      </c>
      <c r="E7" s="4">
        <v>7</v>
      </c>
      <c r="F7" s="4">
        <v>0.01</v>
      </c>
      <c r="G7" s="4">
        <v>0.01</v>
      </c>
      <c r="H7" s="4">
        <v>7.99</v>
      </c>
      <c r="I7" s="4">
        <v>7.99</v>
      </c>
      <c r="J7" s="4">
        <v>0.01</v>
      </c>
      <c r="K7" s="4">
        <v>0.01</v>
      </c>
      <c r="L7" s="4">
        <v>3.66</v>
      </c>
      <c r="M7" s="4">
        <v>3.67</v>
      </c>
      <c r="N7" s="4">
        <v>16.94</v>
      </c>
      <c r="O7" s="4">
        <v>18.68</v>
      </c>
      <c r="P7" s="4">
        <v>7.66</v>
      </c>
      <c r="Q7" s="4">
        <v>7.24</v>
      </c>
      <c r="R7" s="4">
        <v>8.31</v>
      </c>
      <c r="S7" s="4">
        <f t="shared" si="0"/>
        <v>100</v>
      </c>
    </row>
    <row r="8" spans="2:19">
      <c r="B8" s="3">
        <v>2023</v>
      </c>
      <c r="C8" s="4">
        <v>7.37</v>
      </c>
      <c r="D8" s="4">
        <v>7.15</v>
      </c>
      <c r="E8" s="4">
        <v>6.35</v>
      </c>
      <c r="F8" s="4">
        <v>7.09</v>
      </c>
      <c r="G8" s="4">
        <v>5.24</v>
      </c>
      <c r="H8" s="4">
        <v>6.95</v>
      </c>
      <c r="I8" s="4">
        <v>0.01</v>
      </c>
      <c r="J8" s="4">
        <v>6.01</v>
      </c>
      <c r="K8" s="4">
        <v>6.91</v>
      </c>
      <c r="L8" s="4">
        <v>3.95</v>
      </c>
      <c r="M8" s="4">
        <v>3.95</v>
      </c>
      <c r="N8" s="4">
        <v>0.01</v>
      </c>
      <c r="O8" s="4">
        <v>14.78</v>
      </c>
      <c r="P8" s="4">
        <v>8.03</v>
      </c>
      <c r="Q8" s="4">
        <v>8.09</v>
      </c>
      <c r="R8" s="4">
        <v>8.11</v>
      </c>
      <c r="S8" s="4">
        <f t="shared" si="0"/>
        <v>100</v>
      </c>
    </row>
    <row r="9" spans="3:18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</sheetData>
  <mergeCells count="3">
    <mergeCell ref="B2:R2"/>
    <mergeCell ref="C3:R3"/>
    <mergeCell ref="B3:B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7"/>
  <sheetViews>
    <sheetView tabSelected="1" zoomScale="94" zoomScaleNormal="94" workbookViewId="0">
      <selection activeCell="B3" sqref="B3:J7"/>
    </sheetView>
  </sheetViews>
  <sheetFormatPr defaultColWidth="9" defaultRowHeight="14" outlineLevelRow="6"/>
  <cols>
    <col min="3" max="3" width="9.54545454545454" customWidth="1"/>
    <col min="5" max="5" width="11.6363636363636" customWidth="1"/>
    <col min="8" max="8" width="13.1818181818182" customWidth="1"/>
    <col min="10" max="10" width="13.8181818181818" customWidth="1"/>
    <col min="11" max="11" width="15.0909090909091" customWidth="1"/>
  </cols>
  <sheetData>
    <row r="2" spans="2:10">
      <c r="B2" s="5" t="s">
        <v>19</v>
      </c>
      <c r="C2" s="5"/>
      <c r="D2" s="5"/>
      <c r="E2" s="5"/>
      <c r="F2" s="5"/>
      <c r="G2" s="5"/>
      <c r="H2" s="5"/>
      <c r="I2" s="5"/>
      <c r="J2" s="5"/>
    </row>
    <row r="3" spans="2:10">
      <c r="B3" s="6" t="s">
        <v>1</v>
      </c>
      <c r="C3" s="6"/>
      <c r="D3" s="6"/>
      <c r="E3" s="6"/>
      <c r="F3" s="6"/>
      <c r="G3" s="6"/>
      <c r="H3" s="6"/>
      <c r="I3" s="6"/>
      <c r="J3" s="6"/>
    </row>
    <row r="4" ht="56" spans="2:11">
      <c r="B4" s="6"/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  <c r="K4" s="7" t="s">
        <v>18</v>
      </c>
    </row>
    <row r="5" spans="2:11">
      <c r="B5" s="3">
        <v>2015</v>
      </c>
      <c r="C5">
        <v>15.23</v>
      </c>
      <c r="D5" s="4">
        <v>9.8</v>
      </c>
      <c r="E5" s="4">
        <v>8.74</v>
      </c>
      <c r="F5" s="4">
        <v>8.9</v>
      </c>
      <c r="G5" s="4">
        <v>14.43</v>
      </c>
      <c r="H5" s="4">
        <v>8.17</v>
      </c>
      <c r="I5" s="4">
        <v>15.41</v>
      </c>
      <c r="J5" s="4">
        <v>19.32</v>
      </c>
      <c r="K5" s="4">
        <f>SUM(C5:J5)</f>
        <v>100</v>
      </c>
    </row>
    <row r="6" spans="2:11">
      <c r="B6" s="3">
        <v>2020</v>
      </c>
      <c r="C6" s="4">
        <v>14.26</v>
      </c>
      <c r="D6" s="4">
        <v>12.14</v>
      </c>
      <c r="E6" s="4">
        <v>14.07</v>
      </c>
      <c r="F6" s="4">
        <v>17.92</v>
      </c>
      <c r="G6" s="4">
        <v>10.86</v>
      </c>
      <c r="H6" s="4">
        <v>0.01</v>
      </c>
      <c r="I6" s="4">
        <v>15.71</v>
      </c>
      <c r="J6" s="4">
        <v>15.03</v>
      </c>
      <c r="K6" s="4">
        <f t="shared" ref="K6:K7" si="0">SUM(C6:J6)</f>
        <v>100</v>
      </c>
    </row>
    <row r="7" spans="2:11">
      <c r="B7" s="3">
        <v>2024</v>
      </c>
      <c r="C7" s="4">
        <v>16</v>
      </c>
      <c r="D7" s="4">
        <v>16</v>
      </c>
      <c r="E7" s="4">
        <v>8</v>
      </c>
      <c r="F7" s="4">
        <v>9</v>
      </c>
      <c r="G7" s="4">
        <v>23</v>
      </c>
      <c r="H7" s="4">
        <v>8</v>
      </c>
      <c r="I7" s="4">
        <v>7</v>
      </c>
      <c r="J7" s="4">
        <v>13</v>
      </c>
      <c r="K7" s="4">
        <f t="shared" si="0"/>
        <v>100</v>
      </c>
    </row>
  </sheetData>
  <mergeCells count="2">
    <mergeCell ref="B2:J2"/>
    <mergeCell ref="B3:B4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workbookViewId="0">
      <selection activeCell="E9" sqref="E9"/>
    </sheetView>
  </sheetViews>
  <sheetFormatPr defaultColWidth="9" defaultRowHeight="14" outlineLevelRow="4"/>
  <sheetData>
    <row r="1" ht="98" spans="1:17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</row>
    <row r="2" spans="1:18">
      <c r="A2" s="3">
        <v>2016</v>
      </c>
      <c r="B2" s="4">
        <v>4.49</v>
      </c>
      <c r="C2" s="4">
        <v>4.35</v>
      </c>
      <c r="D2" s="4">
        <v>1.23</v>
      </c>
      <c r="E2" s="4">
        <v>3.42</v>
      </c>
      <c r="F2" s="4">
        <v>2.49</v>
      </c>
      <c r="G2" s="4">
        <v>4.65</v>
      </c>
      <c r="H2" s="4">
        <v>4.34</v>
      </c>
      <c r="I2" s="4">
        <v>3.04</v>
      </c>
      <c r="J2" s="4">
        <v>3.74</v>
      </c>
      <c r="K2" s="4">
        <v>2.95</v>
      </c>
      <c r="L2" s="4">
        <v>10.52</v>
      </c>
      <c r="M2" s="4">
        <v>13.46</v>
      </c>
      <c r="N2" s="4">
        <v>24.43</v>
      </c>
      <c r="O2" s="4">
        <v>6.45</v>
      </c>
      <c r="P2" s="4">
        <v>4.25</v>
      </c>
      <c r="Q2" s="4">
        <v>6.19</v>
      </c>
      <c r="R2" s="4"/>
    </row>
    <row r="3" spans="1:18">
      <c r="A3" s="3">
        <v>2019</v>
      </c>
      <c r="B3" s="4">
        <v>15.61</v>
      </c>
      <c r="C3" s="4">
        <v>3.36</v>
      </c>
      <c r="D3" s="4">
        <v>10.6</v>
      </c>
      <c r="E3" s="4">
        <v>4.34</v>
      </c>
      <c r="F3" s="4">
        <v>4.12</v>
      </c>
      <c r="G3" s="4">
        <v>0.01</v>
      </c>
      <c r="H3" s="4">
        <v>0.01</v>
      </c>
      <c r="I3" s="4">
        <v>8.89</v>
      </c>
      <c r="J3" s="4">
        <v>0.01</v>
      </c>
      <c r="K3" s="4">
        <v>2.66</v>
      </c>
      <c r="L3" s="4">
        <v>2.67</v>
      </c>
      <c r="M3" s="4">
        <v>12.15</v>
      </c>
      <c r="N3" s="4">
        <v>20.1</v>
      </c>
      <c r="O3" s="4">
        <v>7.77</v>
      </c>
      <c r="P3" s="4">
        <v>3.46</v>
      </c>
      <c r="Q3" s="4">
        <v>4.24</v>
      </c>
      <c r="R3" s="4"/>
    </row>
    <row r="4" spans="1:18">
      <c r="A4" s="3">
        <v>2021</v>
      </c>
      <c r="B4" s="4">
        <v>3.9</v>
      </c>
      <c r="C4" s="4">
        <v>6.92</v>
      </c>
      <c r="D4" s="4">
        <v>7</v>
      </c>
      <c r="E4" s="4">
        <v>0.01</v>
      </c>
      <c r="F4" s="4">
        <v>0.01</v>
      </c>
      <c r="G4" s="4">
        <v>7.99</v>
      </c>
      <c r="H4" s="4">
        <v>7.99</v>
      </c>
      <c r="I4" s="4">
        <v>0.01</v>
      </c>
      <c r="J4" s="4">
        <v>0.01</v>
      </c>
      <c r="K4" s="4">
        <v>3.66</v>
      </c>
      <c r="L4" s="4">
        <v>3.67</v>
      </c>
      <c r="M4" s="4">
        <v>16.94</v>
      </c>
      <c r="N4" s="4">
        <v>18.68</v>
      </c>
      <c r="O4" s="4">
        <v>7.66</v>
      </c>
      <c r="P4" s="4">
        <v>7.24</v>
      </c>
      <c r="Q4" s="4">
        <v>8.31</v>
      </c>
      <c r="R4" s="4"/>
    </row>
    <row r="5" spans="1:18">
      <c r="A5" s="3">
        <v>2023</v>
      </c>
      <c r="B5" s="4">
        <v>7.37</v>
      </c>
      <c r="C5" s="4">
        <v>7.15</v>
      </c>
      <c r="D5" s="4">
        <v>6.35</v>
      </c>
      <c r="E5" s="4">
        <v>7.09</v>
      </c>
      <c r="F5" s="4">
        <v>5.24</v>
      </c>
      <c r="G5" s="4">
        <v>6.95</v>
      </c>
      <c r="H5" s="4">
        <v>0.01</v>
      </c>
      <c r="I5" s="4">
        <v>6.01</v>
      </c>
      <c r="J5" s="4">
        <v>6.91</v>
      </c>
      <c r="K5" s="4">
        <v>3.95</v>
      </c>
      <c r="L5" s="4">
        <v>3.95</v>
      </c>
      <c r="M5" s="4">
        <v>0.01</v>
      </c>
      <c r="N5" s="4">
        <v>14.78</v>
      </c>
      <c r="O5" s="4">
        <v>8.03</v>
      </c>
      <c r="P5" s="4">
        <v>8.09</v>
      </c>
      <c r="Q5" s="4">
        <v>8.11</v>
      </c>
      <c r="R5" s="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E10" sqref="E10"/>
    </sheetView>
  </sheetViews>
  <sheetFormatPr defaultColWidth="9" defaultRowHeight="14" outlineLevelRow="3"/>
  <sheetData>
    <row r="1" ht="70" spans="1:9">
      <c r="A1" s="1" t="s">
        <v>1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</row>
    <row r="2" spans="1:9">
      <c r="A2" s="3">
        <v>2015</v>
      </c>
      <c r="B2">
        <v>15.23</v>
      </c>
      <c r="C2" s="4">
        <v>9.8</v>
      </c>
      <c r="D2" s="4">
        <v>8.74</v>
      </c>
      <c r="E2" s="4">
        <v>8.9</v>
      </c>
      <c r="F2" s="4">
        <v>14.43</v>
      </c>
      <c r="G2" s="4">
        <v>8.17</v>
      </c>
      <c r="H2" s="4">
        <v>15.41</v>
      </c>
      <c r="I2" s="4">
        <v>19.32</v>
      </c>
    </row>
    <row r="3" spans="1:9">
      <c r="A3" s="3">
        <v>2020</v>
      </c>
      <c r="B3" s="4">
        <v>14.26</v>
      </c>
      <c r="C3" s="4">
        <v>12.14</v>
      </c>
      <c r="D3" s="4">
        <v>14.07</v>
      </c>
      <c r="E3" s="4">
        <v>17.92</v>
      </c>
      <c r="F3" s="4">
        <v>10.86</v>
      </c>
      <c r="G3" s="4">
        <v>0.01</v>
      </c>
      <c r="H3" s="4">
        <v>15.71</v>
      </c>
      <c r="I3" s="4">
        <v>15.03</v>
      </c>
    </row>
    <row r="4" spans="1:9">
      <c r="A4" s="3">
        <v>2024</v>
      </c>
      <c r="B4" s="4">
        <v>16</v>
      </c>
      <c r="C4" s="4">
        <v>16</v>
      </c>
      <c r="D4" s="4">
        <v>8</v>
      </c>
      <c r="E4" s="4">
        <v>9</v>
      </c>
      <c r="F4" s="4">
        <v>23</v>
      </c>
      <c r="G4" s="4">
        <v>8</v>
      </c>
      <c r="H4" s="4">
        <v>7</v>
      </c>
      <c r="I4" s="4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Arsitektur</vt:lpstr>
      <vt:lpstr>MEP</vt:lpstr>
      <vt:lpstr>Data Arsitektur</vt:lpstr>
      <vt:lpstr>Data MEP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Benita Aryani Dewi</dc:creator>
  <cp:lastModifiedBy>benita.aryani</cp:lastModifiedBy>
  <dcterms:created xsi:type="dcterms:W3CDTF">2024-10-27T01:51:00Z</dcterms:created>
  <dcterms:modified xsi:type="dcterms:W3CDTF">2024-11-15T13:33:45Z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7F00EBCAA31D4EBD9CF0FCDE96BBE8D3_13</vt:lpwstr>
  </property>
  <property fmtid="{D5CDD505-2E9C-101B-9397-08002B2CF9AE}" pid="3" name="KSOProductBuildVer">
    <vt:lpwstr>1033-12.2.0.18607</vt:lpwstr>
  </property>
</Properties>
</file>